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yo0\Desktop\"/>
    </mc:Choice>
  </mc:AlternateContent>
  <xr:revisionPtr revIDLastSave="0" documentId="13_ncr:1_{837D7AA7-92C4-429C-9BB2-A1F04790B915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Purchase Dashboard" sheetId="14" r:id="rId1"/>
    <sheet name="Data log" sheetId="15" r:id="rId2"/>
    <sheet name="Constants" sheetId="16" r:id="rId3"/>
    <sheet name="Purchase" sheetId="18" r:id="rId4"/>
    <sheet name="Count Inventory" sheetId="17" r:id="rId5"/>
  </sheets>
  <externalReferences>
    <externalReference r:id="rId6"/>
    <externalReference r:id="rId7"/>
    <externalReference r:id="rId8"/>
  </externalReferences>
  <definedNames>
    <definedName name="_xlnm._FilterDatabase" localSheetId="1" hidden="1">'Data log'!$A$3:$B$501</definedName>
    <definedName name="_xlnm.Print_Area" localSheetId="4">'Count Inventory'!$A$1:$G$44</definedName>
    <definedName name="_xlnm.Print_Area" localSheetId="3">Purchase!$A$1:$H$44</definedName>
    <definedName name="solver_adj" localSheetId="0" hidden="1">'Purchase Dashboard'!$B$22:$AB$22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'Purchase Dashboard'!$B$26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8" l="1"/>
  <c r="G4" i="18"/>
  <c r="H4" i="18"/>
  <c r="J6" i="18"/>
  <c r="K6" i="18"/>
  <c r="L6" i="18" s="1"/>
  <c r="O6" i="18"/>
  <c r="Q6" i="18"/>
  <c r="J7" i="18"/>
  <c r="O7" i="18"/>
  <c r="Q7" i="18"/>
  <c r="J8" i="18"/>
  <c r="L8" i="18" s="1"/>
  <c r="M8" i="18"/>
  <c r="O8" i="18"/>
  <c r="Q8" i="18"/>
  <c r="J9" i="18"/>
  <c r="O9" i="18"/>
  <c r="Q9" i="18"/>
  <c r="J10" i="18"/>
  <c r="L10" i="18" s="1"/>
  <c r="M10" i="18"/>
  <c r="O10" i="18"/>
  <c r="Q10" i="18"/>
  <c r="J11" i="18"/>
  <c r="O11" i="18"/>
  <c r="Q11" i="18"/>
  <c r="J12" i="18"/>
  <c r="L12" i="18" s="1"/>
  <c r="M12" i="18"/>
  <c r="O12" i="18"/>
  <c r="Q12" i="18"/>
  <c r="J13" i="18"/>
  <c r="O13" i="18"/>
  <c r="Q13" i="18"/>
  <c r="J14" i="18"/>
  <c r="L14" i="18" s="1"/>
  <c r="M14" i="18"/>
  <c r="O14" i="18"/>
  <c r="Q14" i="18"/>
  <c r="J15" i="18"/>
  <c r="O15" i="18"/>
  <c r="Q15" i="18"/>
  <c r="J16" i="18"/>
  <c r="L16" i="18" s="1"/>
  <c r="M16" i="18"/>
  <c r="O16" i="18"/>
  <c r="Q16" i="18"/>
  <c r="J17" i="18"/>
  <c r="O17" i="18"/>
  <c r="Q17" i="18"/>
  <c r="J18" i="18"/>
  <c r="L18" i="18" s="1"/>
  <c r="M18" i="18"/>
  <c r="O18" i="18"/>
  <c r="Q18" i="18"/>
  <c r="J19" i="18"/>
  <c r="O19" i="18"/>
  <c r="Q19" i="18"/>
  <c r="J20" i="18"/>
  <c r="L20" i="18" s="1"/>
  <c r="M20" i="18"/>
  <c r="O20" i="18"/>
  <c r="Q20" i="18"/>
  <c r="J21" i="18"/>
  <c r="O21" i="18"/>
  <c r="Q21" i="18"/>
  <c r="J22" i="18"/>
  <c r="L22" i="18" s="1"/>
  <c r="M22" i="18"/>
  <c r="O22" i="18"/>
  <c r="Q22" i="18"/>
  <c r="J23" i="18"/>
  <c r="O23" i="18"/>
  <c r="Q23" i="18"/>
  <c r="J24" i="18"/>
  <c r="L24" i="18" s="1"/>
  <c r="M24" i="18"/>
  <c r="O24" i="18"/>
  <c r="Q24" i="18"/>
  <c r="J25" i="18"/>
  <c r="O25" i="18"/>
  <c r="Q25" i="18"/>
  <c r="J26" i="18"/>
  <c r="L26" i="18" s="1"/>
  <c r="M26" i="18"/>
  <c r="O26" i="18"/>
  <c r="Q26" i="18"/>
  <c r="J27" i="18"/>
  <c r="O27" i="18"/>
  <c r="Q27" i="18"/>
  <c r="J28" i="18"/>
  <c r="L28" i="18" s="1"/>
  <c r="O28" i="18"/>
  <c r="Q28" i="18" s="1"/>
  <c r="J29" i="18"/>
  <c r="O29" i="18"/>
  <c r="Q29" i="18" s="1"/>
  <c r="J30" i="18"/>
  <c r="L30" i="18" s="1"/>
  <c r="O30" i="18"/>
  <c r="Q30" i="18" s="1"/>
  <c r="J31" i="18"/>
  <c r="O31" i="18"/>
  <c r="Q31" i="18" s="1"/>
  <c r="J32" i="18"/>
  <c r="L32" i="18" s="1"/>
  <c r="O32" i="18"/>
  <c r="Q32" i="18" s="1"/>
  <c r="J33" i="18"/>
  <c r="O33" i="18"/>
  <c r="Q33" i="18"/>
  <c r="J34" i="18"/>
  <c r="L34" i="18" s="1"/>
  <c r="M34" i="18"/>
  <c r="O34" i="18"/>
  <c r="Q34" i="18"/>
  <c r="J35" i="18"/>
  <c r="O35" i="18"/>
  <c r="Q35" i="18"/>
  <c r="J36" i="18"/>
  <c r="L36" i="18" s="1"/>
  <c r="M36" i="18"/>
  <c r="O36" i="18"/>
  <c r="Q36" i="18"/>
  <c r="J37" i="18"/>
  <c r="O37" i="18"/>
  <c r="Q37" i="18"/>
  <c r="J38" i="18"/>
  <c r="L38" i="18" s="1"/>
  <c r="M38" i="18"/>
  <c r="O38" i="18"/>
  <c r="Q38" i="18"/>
  <c r="H39" i="18"/>
  <c r="J39" i="18"/>
  <c r="O39" i="18"/>
  <c r="Q39" i="18"/>
  <c r="H40" i="18"/>
  <c r="J40" i="18"/>
  <c r="L40" i="18" s="1"/>
  <c r="M40" i="18"/>
  <c r="O40" i="18"/>
  <c r="Q40" i="18"/>
  <c r="H41" i="18"/>
  <c r="J41" i="18"/>
  <c r="O41" i="18"/>
  <c r="Q41" i="18"/>
  <c r="J42" i="18"/>
  <c r="M42" i="18" s="1"/>
  <c r="L42" i="18"/>
  <c r="O42" i="18"/>
  <c r="Q42" i="18" s="1"/>
  <c r="J43" i="18"/>
  <c r="L43" i="18" s="1"/>
  <c r="M43" i="18"/>
  <c r="O43" i="18"/>
  <c r="Q43" i="18"/>
  <c r="J44" i="18"/>
  <c r="L44" i="18"/>
  <c r="M44" i="18"/>
  <c r="O44" i="18"/>
  <c r="Q44" i="18" s="1"/>
  <c r="F6" i="17"/>
  <c r="G6" i="17"/>
  <c r="F7" i="17"/>
  <c r="G7" i="17"/>
  <c r="F8" i="17"/>
  <c r="G8" i="17"/>
  <c r="F9" i="17"/>
  <c r="G9" i="17"/>
  <c r="F10" i="17"/>
  <c r="G10" i="17"/>
  <c r="F11" i="17"/>
  <c r="G11" i="17"/>
  <c r="F12" i="17"/>
  <c r="G12" i="17"/>
  <c r="F13" i="17"/>
  <c r="G13" i="17"/>
  <c r="F14" i="17"/>
  <c r="G14" i="17"/>
  <c r="F15" i="17"/>
  <c r="G15" i="17"/>
  <c r="F16" i="17"/>
  <c r="G16" i="17"/>
  <c r="F17" i="17"/>
  <c r="G17" i="17"/>
  <c r="F18" i="17"/>
  <c r="G18" i="17"/>
  <c r="F19" i="17"/>
  <c r="G19" i="17"/>
  <c r="F20" i="17"/>
  <c r="G20" i="17"/>
  <c r="F21" i="17"/>
  <c r="G21" i="17"/>
  <c r="F22" i="17"/>
  <c r="G22" i="17"/>
  <c r="F23" i="17"/>
  <c r="G23" i="17"/>
  <c r="F24" i="17"/>
  <c r="G24" i="17"/>
  <c r="F25" i="17"/>
  <c r="G25" i="17"/>
  <c r="F26" i="17"/>
  <c r="G26" i="17"/>
  <c r="F27" i="17"/>
  <c r="G27" i="17"/>
  <c r="F28" i="17"/>
  <c r="G28" i="17"/>
  <c r="F29" i="17"/>
  <c r="G29" i="17"/>
  <c r="F30" i="17"/>
  <c r="G30" i="17"/>
  <c r="F31" i="17"/>
  <c r="G31" i="17"/>
  <c r="F32" i="17"/>
  <c r="G32" i="17"/>
  <c r="F33" i="17"/>
  <c r="G33" i="17"/>
  <c r="F34" i="17"/>
  <c r="G34" i="17"/>
  <c r="F35" i="17"/>
  <c r="G35" i="17"/>
  <c r="F36" i="17"/>
  <c r="G36" i="17"/>
  <c r="F37" i="17"/>
  <c r="G37" i="17"/>
  <c r="F38" i="17"/>
  <c r="G38" i="17"/>
  <c r="F39" i="17"/>
  <c r="G39" i="17"/>
  <c r="F40" i="17"/>
  <c r="G40" i="17"/>
  <c r="F41" i="17"/>
  <c r="G41" i="17"/>
  <c r="F42" i="17"/>
  <c r="G42" i="17"/>
  <c r="F43" i="17"/>
  <c r="G43" i="17"/>
  <c r="F44" i="17"/>
  <c r="G44" i="17"/>
  <c r="B20" i="14"/>
  <c r="B21" i="14" s="1"/>
  <c r="B17" i="14"/>
  <c r="B14" i="14"/>
  <c r="B11" i="14"/>
  <c r="B8" i="14"/>
  <c r="M32" i="18" l="1"/>
  <c r="M30" i="18"/>
  <c r="M28" i="18"/>
  <c r="M6" i="18"/>
  <c r="L41" i="18"/>
  <c r="M41" i="18"/>
  <c r="L33" i="18"/>
  <c r="M33" i="18"/>
  <c r="L25" i="18"/>
  <c r="M25" i="18"/>
  <c r="L17" i="18"/>
  <c r="M17" i="18"/>
  <c r="L9" i="18"/>
  <c r="M9" i="18"/>
  <c r="L39" i="18"/>
  <c r="M39" i="18"/>
  <c r="L31" i="18"/>
  <c r="M31" i="18"/>
  <c r="L23" i="18"/>
  <c r="M23" i="18"/>
  <c r="L15" i="18"/>
  <c r="M15" i="18"/>
  <c r="L7" i="18"/>
  <c r="M7" i="18"/>
  <c r="L37" i="18"/>
  <c r="M37" i="18"/>
  <c r="L29" i="18"/>
  <c r="M29" i="18"/>
  <c r="L21" i="18"/>
  <c r="M21" i="18"/>
  <c r="L13" i="18"/>
  <c r="M13" i="18"/>
  <c r="L35" i="18"/>
  <c r="M35" i="18"/>
  <c r="L27" i="18"/>
  <c r="M27" i="18"/>
  <c r="L19" i="18"/>
  <c r="M19" i="18"/>
  <c r="L11" i="18"/>
  <c r="M11" i="18"/>
  <c r="C8" i="14"/>
  <c r="C16" i="14" s="1"/>
  <c r="O8" i="14"/>
  <c r="O16" i="14" s="1"/>
  <c r="S8" i="14"/>
  <c r="S16" i="14" s="1"/>
  <c r="W8" i="14"/>
  <c r="W16" i="14" s="1"/>
  <c r="AA8" i="14"/>
  <c r="AA16" i="14" s="1"/>
  <c r="AG23" i="16"/>
  <c r="AF23" i="16"/>
  <c r="AE23" i="16"/>
  <c r="O23" i="16"/>
  <c r="AC21" i="16"/>
  <c r="K21" i="16"/>
  <c r="V19" i="16"/>
  <c r="C19" i="16"/>
  <c r="AG17" i="16"/>
  <c r="AF17" i="16"/>
  <c r="AE17" i="16"/>
  <c r="AD17" i="16"/>
  <c r="AC17" i="16"/>
  <c r="AB17" i="16"/>
  <c r="AA17" i="16"/>
  <c r="Z17" i="16"/>
  <c r="Y17" i="16"/>
  <c r="W17" i="16"/>
  <c r="V17" i="16"/>
  <c r="U17" i="16"/>
  <c r="T17" i="16"/>
  <c r="S17" i="16"/>
  <c r="R17" i="16"/>
  <c r="P17" i="16"/>
  <c r="O17" i="16"/>
  <c r="N17" i="16"/>
  <c r="M17" i="16"/>
  <c r="L17" i="16"/>
  <c r="K17" i="16"/>
  <c r="I17" i="16"/>
  <c r="H17" i="16"/>
  <c r="G17" i="16"/>
  <c r="E17" i="16"/>
  <c r="D17" i="16"/>
  <c r="C17" i="16"/>
  <c r="AG16" i="16"/>
  <c r="AF16" i="16"/>
  <c r="AE16" i="16"/>
  <c r="AD16" i="16"/>
  <c r="AC16" i="16"/>
  <c r="AB16" i="16"/>
  <c r="AA16" i="16"/>
  <c r="Z16" i="16"/>
  <c r="Y16" i="16"/>
  <c r="W16" i="16"/>
  <c r="V16" i="16"/>
  <c r="U16" i="16"/>
  <c r="T16" i="16"/>
  <c r="S16" i="16"/>
  <c r="R16" i="16"/>
  <c r="P16" i="16"/>
  <c r="O16" i="16"/>
  <c r="N16" i="16"/>
  <c r="M16" i="16"/>
  <c r="L16" i="16"/>
  <c r="K16" i="16"/>
  <c r="I16" i="16"/>
  <c r="H16" i="16"/>
  <c r="G16" i="16"/>
  <c r="E16" i="16"/>
  <c r="D16" i="16"/>
  <c r="C16" i="16"/>
  <c r="AG11" i="16"/>
  <c r="AF11" i="16"/>
  <c r="AE11" i="16"/>
  <c r="AD11" i="16"/>
  <c r="AC11" i="16"/>
  <c r="AB11" i="16"/>
  <c r="AA11" i="16"/>
  <c r="Z11" i="16"/>
  <c r="Y11" i="16"/>
  <c r="W11" i="16"/>
  <c r="V11" i="16"/>
  <c r="U11" i="16"/>
  <c r="T11" i="16"/>
  <c r="S11" i="16"/>
  <c r="R11" i="16"/>
  <c r="P11" i="16"/>
  <c r="O11" i="16"/>
  <c r="N11" i="16"/>
  <c r="M11" i="16"/>
  <c r="L11" i="16"/>
  <c r="K11" i="16"/>
  <c r="I11" i="16"/>
  <c r="H11" i="16"/>
  <c r="G11" i="16"/>
  <c r="E11" i="16"/>
  <c r="D11" i="16"/>
  <c r="C11" i="16"/>
  <c r="AG10" i="16"/>
  <c r="AF10" i="16"/>
  <c r="AE10" i="16"/>
  <c r="AD10" i="16"/>
  <c r="AC10" i="16"/>
  <c r="AB10" i="16"/>
  <c r="AA10" i="16"/>
  <c r="Z10" i="16"/>
  <c r="Y10" i="16"/>
  <c r="W10" i="16"/>
  <c r="V10" i="16"/>
  <c r="V20" i="16" s="1"/>
  <c r="U10" i="16"/>
  <c r="T10" i="16"/>
  <c r="S10" i="16"/>
  <c r="R10" i="16"/>
  <c r="P10" i="16"/>
  <c r="O10" i="16"/>
  <c r="N10" i="16"/>
  <c r="M10" i="16"/>
  <c r="L10" i="16"/>
  <c r="K10" i="16"/>
  <c r="I10" i="16"/>
  <c r="H10" i="16"/>
  <c r="G10" i="16"/>
  <c r="E10" i="16"/>
  <c r="D10" i="16"/>
  <c r="C10" i="16"/>
  <c r="C20" i="16" s="1"/>
  <c r="AG9" i="16"/>
  <c r="AG19" i="16" s="1"/>
  <c r="AF9" i="16"/>
  <c r="AE9" i="16"/>
  <c r="AE21" i="16" s="1"/>
  <c r="AD9" i="16"/>
  <c r="AD19" i="16" s="1"/>
  <c r="AC9" i="16"/>
  <c r="AC19" i="16" s="1"/>
  <c r="AB9" i="16"/>
  <c r="AA9" i="16"/>
  <c r="AA21" i="16" s="1"/>
  <c r="Z9" i="16"/>
  <c r="Z19" i="16" s="1"/>
  <c r="Y9" i="16"/>
  <c r="Y19" i="16" s="1"/>
  <c r="W9" i="16"/>
  <c r="V9" i="16"/>
  <c r="V21" i="16" s="1"/>
  <c r="U9" i="16"/>
  <c r="U19" i="16" s="1"/>
  <c r="T9" i="16"/>
  <c r="T19" i="16" s="1"/>
  <c r="S9" i="16"/>
  <c r="R9" i="16"/>
  <c r="R21" i="16" s="1"/>
  <c r="P9" i="16"/>
  <c r="P19" i="16" s="1"/>
  <c r="O9" i="16"/>
  <c r="O19" i="16" s="1"/>
  <c r="N9" i="16"/>
  <c r="M9" i="16"/>
  <c r="M21" i="16" s="1"/>
  <c r="L9" i="16"/>
  <c r="L19" i="16" s="1"/>
  <c r="K9" i="16"/>
  <c r="K19" i="16" s="1"/>
  <c r="I9" i="16"/>
  <c r="E8" i="14" s="1"/>
  <c r="E16" i="14" s="1"/>
  <c r="H9" i="16"/>
  <c r="H21" i="16" s="1"/>
  <c r="G9" i="16"/>
  <c r="G19" i="16" s="1"/>
  <c r="E9" i="16"/>
  <c r="E19" i="16" s="1"/>
  <c r="D9" i="16"/>
  <c r="C9" i="16"/>
  <c r="C21" i="16" s="1"/>
  <c r="E17" i="14" l="1"/>
  <c r="E14" i="14"/>
  <c r="S17" i="14"/>
  <c r="S14" i="14"/>
  <c r="W17" i="14"/>
  <c r="W14" i="14"/>
  <c r="O17" i="14"/>
  <c r="O14" i="14"/>
  <c r="AA17" i="14"/>
  <c r="AA14" i="14"/>
  <c r="C17" i="14"/>
  <c r="C14" i="14"/>
  <c r="G8" i="14"/>
  <c r="G16" i="14" s="1"/>
  <c r="D21" i="16"/>
  <c r="N21" i="16"/>
  <c r="S21" i="16"/>
  <c r="S27" i="16" s="1"/>
  <c r="W21" i="16"/>
  <c r="AB21" i="16"/>
  <c r="AF21" i="16"/>
  <c r="E20" i="16"/>
  <c r="E28" i="16" s="1"/>
  <c r="K20" i="16"/>
  <c r="O20" i="16"/>
  <c r="T20" i="16"/>
  <c r="T29" i="16" s="1"/>
  <c r="Y20" i="16"/>
  <c r="Y28" i="16" s="1"/>
  <c r="AC20" i="16"/>
  <c r="AG20" i="16"/>
  <c r="M19" i="16"/>
  <c r="M20" i="16" s="1"/>
  <c r="AE19" i="16"/>
  <c r="AE20" i="16" s="1"/>
  <c r="T21" i="16"/>
  <c r="B16" i="14"/>
  <c r="Y8" i="14"/>
  <c r="Y16" i="14" s="1"/>
  <c r="U8" i="14"/>
  <c r="U16" i="14" s="1"/>
  <c r="Q8" i="14"/>
  <c r="Q16" i="14" s="1"/>
  <c r="M8" i="14"/>
  <c r="M16" i="14" s="1"/>
  <c r="I8" i="14"/>
  <c r="I16" i="14" s="1"/>
  <c r="R20" i="16"/>
  <c r="AA20" i="16"/>
  <c r="AA28" i="16" s="1"/>
  <c r="I21" i="16"/>
  <c r="I27" i="16" s="1"/>
  <c r="R19" i="16"/>
  <c r="E21" i="16"/>
  <c r="Y21" i="16"/>
  <c r="Y24" i="16" s="1"/>
  <c r="Y25" i="16" s="1"/>
  <c r="AB8" i="14"/>
  <c r="AB16" i="14" s="1"/>
  <c r="X8" i="14"/>
  <c r="X16" i="14" s="1"/>
  <c r="T8" i="14"/>
  <c r="T16" i="14" s="1"/>
  <c r="P8" i="14"/>
  <c r="P16" i="14" s="1"/>
  <c r="L8" i="14"/>
  <c r="L16" i="14" s="1"/>
  <c r="H8" i="14"/>
  <c r="H16" i="14" s="1"/>
  <c r="D8" i="14"/>
  <c r="D16" i="14" s="1"/>
  <c r="K8" i="14"/>
  <c r="K16" i="14" s="1"/>
  <c r="H19" i="16"/>
  <c r="H20" i="16" s="1"/>
  <c r="AA19" i="16"/>
  <c r="O21" i="16"/>
  <c r="AG21" i="16"/>
  <c r="Z8" i="14"/>
  <c r="Z16" i="14" s="1"/>
  <c r="V8" i="14"/>
  <c r="V16" i="14" s="1"/>
  <c r="R8" i="14"/>
  <c r="R16" i="14" s="1"/>
  <c r="N8" i="14"/>
  <c r="N16" i="14" s="1"/>
  <c r="J8" i="14"/>
  <c r="J16" i="14" s="1"/>
  <c r="F8" i="14"/>
  <c r="F16" i="14" s="1"/>
  <c r="D27" i="16"/>
  <c r="N27" i="16"/>
  <c r="W27" i="16"/>
  <c r="AB27" i="16"/>
  <c r="AF27" i="16"/>
  <c r="E29" i="16"/>
  <c r="K29" i="16"/>
  <c r="K28" i="16"/>
  <c r="O29" i="16"/>
  <c r="O28" i="16"/>
  <c r="T28" i="16"/>
  <c r="Y29" i="16"/>
  <c r="AC29" i="16"/>
  <c r="AC28" i="16"/>
  <c r="AG29" i="16"/>
  <c r="AG28" i="16"/>
  <c r="G20" i="16"/>
  <c r="L20" i="16"/>
  <c r="P20" i="16"/>
  <c r="U20" i="16"/>
  <c r="Z20" i="16"/>
  <c r="AD20" i="16"/>
  <c r="E24" i="16"/>
  <c r="E25" i="16" s="1"/>
  <c r="C28" i="16"/>
  <c r="C29" i="16"/>
  <c r="R28" i="16"/>
  <c r="R29" i="16"/>
  <c r="V28" i="16"/>
  <c r="V29" i="16"/>
  <c r="K24" i="16"/>
  <c r="K25" i="16" s="1"/>
  <c r="AC24" i="16"/>
  <c r="AC25" i="16" s="1"/>
  <c r="C27" i="16"/>
  <c r="C24" i="16"/>
  <c r="C25" i="16" s="1"/>
  <c r="H27" i="16"/>
  <c r="M27" i="16"/>
  <c r="R27" i="16"/>
  <c r="R24" i="16"/>
  <c r="R25" i="16" s="1"/>
  <c r="V27" i="16"/>
  <c r="V24" i="16"/>
  <c r="V25" i="16" s="1"/>
  <c r="AA27" i="16"/>
  <c r="AA24" i="16"/>
  <c r="AA25" i="16" s="1"/>
  <c r="AE27" i="16"/>
  <c r="O24" i="16"/>
  <c r="O25" i="16" s="1"/>
  <c r="AG24" i="16"/>
  <c r="AG25" i="16" s="1"/>
  <c r="D19" i="16"/>
  <c r="D20" i="16" s="1"/>
  <c r="I19" i="16"/>
  <c r="I20" i="16" s="1"/>
  <c r="N19" i="16"/>
  <c r="N20" i="16" s="1"/>
  <c r="S19" i="16"/>
  <c r="S20" i="16" s="1"/>
  <c r="W19" i="16"/>
  <c r="W20" i="16" s="1"/>
  <c r="AB19" i="16"/>
  <c r="AB20" i="16" s="1"/>
  <c r="AF19" i="16"/>
  <c r="AF20" i="16" s="1"/>
  <c r="G21" i="16"/>
  <c r="L21" i="16"/>
  <c r="P21" i="16"/>
  <c r="U21" i="16"/>
  <c r="Z21" i="16"/>
  <c r="AD21" i="16"/>
  <c r="E27" i="16"/>
  <c r="K27" i="16"/>
  <c r="O27" i="16"/>
  <c r="T27" i="16"/>
  <c r="Y27" i="16"/>
  <c r="AC27" i="16"/>
  <c r="AG27" i="16"/>
  <c r="C20" i="14"/>
  <c r="C21" i="14" s="1"/>
  <c r="C23" i="14" s="1"/>
  <c r="D20" i="14"/>
  <c r="D21" i="14" s="1"/>
  <c r="D23" i="14" s="1"/>
  <c r="E20" i="14"/>
  <c r="E21" i="14" s="1"/>
  <c r="E23" i="14" s="1"/>
  <c r="F20" i="14"/>
  <c r="F21" i="14" s="1"/>
  <c r="F23" i="14" s="1"/>
  <c r="G20" i="14"/>
  <c r="G21" i="14" s="1"/>
  <c r="G23" i="14" s="1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F509" i="15"/>
  <c r="AC501" i="15"/>
  <c r="AB501" i="15"/>
  <c r="AA501" i="15"/>
  <c r="Z501" i="15"/>
  <c r="Y501" i="15"/>
  <c r="X501" i="15"/>
  <c r="W501" i="15"/>
  <c r="V501" i="15"/>
  <c r="U501" i="15"/>
  <c r="T501" i="15"/>
  <c r="S501" i="15"/>
  <c r="R501" i="15"/>
  <c r="Q501" i="15"/>
  <c r="P501" i="15"/>
  <c r="O501" i="15"/>
  <c r="N501" i="15"/>
  <c r="M501" i="15"/>
  <c r="L501" i="15"/>
  <c r="K501" i="15"/>
  <c r="J501" i="15"/>
  <c r="I501" i="15"/>
  <c r="H501" i="15"/>
  <c r="G501" i="15"/>
  <c r="F501" i="15"/>
  <c r="E501" i="15"/>
  <c r="D501" i="15"/>
  <c r="C501" i="15"/>
  <c r="AM4" i="15"/>
  <c r="AM501" i="15" s="1"/>
  <c r="AL4" i="15"/>
  <c r="AL501" i="15" s="1"/>
  <c r="AK4" i="15"/>
  <c r="AK501" i="15" s="1"/>
  <c r="AO4" i="15"/>
  <c r="AO501" i="15" s="1"/>
  <c r="AN4" i="15"/>
  <c r="AN501" i="15" s="1"/>
  <c r="AJ4" i="15"/>
  <c r="AJ501" i="15" s="1"/>
  <c r="R17" i="14" l="1"/>
  <c r="R14" i="14"/>
  <c r="T17" i="14"/>
  <c r="T14" i="14"/>
  <c r="U17" i="14"/>
  <c r="U14" i="14"/>
  <c r="F17" i="14"/>
  <c r="F14" i="14"/>
  <c r="V17" i="14"/>
  <c r="V14" i="14"/>
  <c r="H17" i="14"/>
  <c r="H14" i="14"/>
  <c r="X17" i="14"/>
  <c r="X14" i="14"/>
  <c r="I17" i="14"/>
  <c r="I14" i="14"/>
  <c r="Y17" i="14"/>
  <c r="Y14" i="14"/>
  <c r="D17" i="14"/>
  <c r="D14" i="14"/>
  <c r="J17" i="14"/>
  <c r="J14" i="14"/>
  <c r="Z17" i="14"/>
  <c r="Z14" i="14"/>
  <c r="L17" i="14"/>
  <c r="L14" i="14"/>
  <c r="AB17" i="14"/>
  <c r="AB14" i="14"/>
  <c r="M17" i="14"/>
  <c r="M14" i="14"/>
  <c r="B15" i="14"/>
  <c r="N17" i="14"/>
  <c r="N14" i="14"/>
  <c r="K17" i="14"/>
  <c r="K14" i="14"/>
  <c r="P17" i="14"/>
  <c r="P14" i="14"/>
  <c r="Q17" i="14"/>
  <c r="Q14" i="14"/>
  <c r="G17" i="14"/>
  <c r="G14" i="14"/>
  <c r="M29" i="16"/>
  <c r="M24" i="16"/>
  <c r="M25" i="16" s="1"/>
  <c r="M28" i="16"/>
  <c r="AE29" i="16"/>
  <c r="AE24" i="16"/>
  <c r="AE25" i="16" s="1"/>
  <c r="AE28" i="16"/>
  <c r="H28" i="16"/>
  <c r="H29" i="16"/>
  <c r="H24" i="16"/>
  <c r="H25" i="16" s="1"/>
  <c r="AA29" i="16"/>
  <c r="T24" i="16"/>
  <c r="T25" i="16" s="1"/>
  <c r="AF28" i="16"/>
  <c r="AF29" i="16"/>
  <c r="AF24" i="16"/>
  <c r="AF25" i="16" s="1"/>
  <c r="N28" i="16"/>
  <c r="N29" i="16"/>
  <c r="N24" i="16"/>
  <c r="N25" i="16" s="1"/>
  <c r="AB28" i="16"/>
  <c r="AB29" i="16"/>
  <c r="AB24" i="16"/>
  <c r="AB25" i="16" s="1"/>
  <c r="I28" i="16"/>
  <c r="I29" i="16"/>
  <c r="I24" i="16"/>
  <c r="I25" i="16" s="1"/>
  <c r="W28" i="16"/>
  <c r="W29" i="16"/>
  <c r="W24" i="16"/>
  <c r="W25" i="16" s="1"/>
  <c r="D28" i="16"/>
  <c r="D29" i="16"/>
  <c r="D24" i="16"/>
  <c r="D25" i="16" s="1"/>
  <c r="S28" i="16"/>
  <c r="S29" i="16"/>
  <c r="S24" i="16"/>
  <c r="S25" i="16" s="1"/>
  <c r="P24" i="16"/>
  <c r="P25" i="16" s="1"/>
  <c r="P27" i="16"/>
  <c r="AD27" i="16"/>
  <c r="AD24" i="16"/>
  <c r="AD25" i="16" s="1"/>
  <c r="L27" i="16"/>
  <c r="L24" i="16"/>
  <c r="L25" i="16" s="1"/>
  <c r="AD28" i="16"/>
  <c r="AD29" i="16"/>
  <c r="L29" i="16"/>
  <c r="L28" i="16"/>
  <c r="G24" i="16"/>
  <c r="G25" i="16" s="1"/>
  <c r="G27" i="16"/>
  <c r="Z29" i="16"/>
  <c r="Z28" i="16"/>
  <c r="G28" i="16"/>
  <c r="G29" i="16"/>
  <c r="Z24" i="16"/>
  <c r="Z25" i="16" s="1"/>
  <c r="Z27" i="16"/>
  <c r="U27" i="16"/>
  <c r="U24" i="16"/>
  <c r="U25" i="16" s="1"/>
  <c r="U29" i="16"/>
  <c r="U28" i="16"/>
  <c r="P28" i="16"/>
  <c r="P29" i="16"/>
  <c r="E2" i="14"/>
  <c r="B19" i="14" l="1"/>
  <c r="B18" i="14"/>
  <c r="B23" i="14" s="1"/>
  <c r="B25" i="14"/>
  <c r="N18" i="14"/>
  <c r="N21" i="14" s="1"/>
  <c r="N23" i="14" s="1"/>
  <c r="N25" i="14"/>
  <c r="Y18" i="14"/>
  <c r="Y21" i="14" s="1"/>
  <c r="Y23" i="14" s="1"/>
  <c r="Y25" i="14"/>
  <c r="I18" i="14"/>
  <c r="I21" i="14" s="1"/>
  <c r="I23" i="14" s="1"/>
  <c r="I25" i="14"/>
  <c r="T18" i="14"/>
  <c r="T21" i="14" s="1"/>
  <c r="T23" i="14" s="1"/>
  <c r="T25" i="14"/>
  <c r="D18" i="14"/>
  <c r="D25" i="14"/>
  <c r="O25" i="14"/>
  <c r="O18" i="14"/>
  <c r="O21" i="14" s="1"/>
  <c r="O23" i="14" s="1"/>
  <c r="Z18" i="14"/>
  <c r="Z21" i="14" s="1"/>
  <c r="Z23" i="14" s="1"/>
  <c r="Z25" i="14"/>
  <c r="J25" i="14"/>
  <c r="J18" i="14"/>
  <c r="J21" i="14" s="1"/>
  <c r="J23" i="14" s="1"/>
  <c r="U18" i="14"/>
  <c r="U21" i="14" s="1"/>
  <c r="U23" i="14" s="1"/>
  <c r="U25" i="14"/>
  <c r="E18" i="14"/>
  <c r="E25" i="14"/>
  <c r="P18" i="14"/>
  <c r="P21" i="14" s="1"/>
  <c r="P23" i="14" s="1"/>
  <c r="P25" i="14"/>
  <c r="AA25" i="14"/>
  <c r="AA18" i="14"/>
  <c r="AA21" i="14" s="1"/>
  <c r="AA23" i="14" s="1"/>
  <c r="K25" i="14"/>
  <c r="K18" i="14"/>
  <c r="K21" i="14" s="1"/>
  <c r="K23" i="14" s="1"/>
  <c r="V18" i="14"/>
  <c r="V21" i="14" s="1"/>
  <c r="V23" i="14" s="1"/>
  <c r="V25" i="14"/>
  <c r="F18" i="14"/>
  <c r="F25" i="14"/>
  <c r="Q18" i="14"/>
  <c r="Q21" i="14" s="1"/>
  <c r="Q23" i="14" s="1"/>
  <c r="Q25" i="14"/>
  <c r="AB18" i="14"/>
  <c r="AB21" i="14" s="1"/>
  <c r="AB23" i="14" s="1"/>
  <c r="AB25" i="14"/>
  <c r="L18" i="14"/>
  <c r="L21" i="14" s="1"/>
  <c r="L23" i="14" s="1"/>
  <c r="L25" i="14"/>
  <c r="W25" i="14"/>
  <c r="W18" i="14"/>
  <c r="W21" i="14" s="1"/>
  <c r="W23" i="14" s="1"/>
  <c r="G25" i="14"/>
  <c r="G18" i="14"/>
  <c r="R18" i="14"/>
  <c r="R21" i="14" s="1"/>
  <c r="R23" i="14" s="1"/>
  <c r="R25" i="14"/>
  <c r="M18" i="14"/>
  <c r="M21" i="14" s="1"/>
  <c r="M23" i="14" s="1"/>
  <c r="M25" i="14"/>
  <c r="X18" i="14"/>
  <c r="X21" i="14" s="1"/>
  <c r="X23" i="14" s="1"/>
  <c r="X25" i="14"/>
  <c r="H18" i="14"/>
  <c r="H21" i="14" s="1"/>
  <c r="H23" i="14" s="1"/>
  <c r="H25" i="14"/>
  <c r="S25" i="14"/>
  <c r="S18" i="14"/>
  <c r="S21" i="14" s="1"/>
  <c r="S23" i="14" s="1"/>
  <c r="C25" i="14"/>
  <c r="C18" i="14"/>
  <c r="E11" i="14"/>
  <c r="S11" i="14"/>
  <c r="Z11" i="14"/>
  <c r="J11" i="14"/>
  <c r="L11" i="14"/>
  <c r="N11" i="14"/>
  <c r="G11" i="14"/>
  <c r="U11" i="14"/>
  <c r="AB11" i="14"/>
  <c r="H11" i="14"/>
  <c r="P11" i="14"/>
  <c r="T11" i="14"/>
  <c r="W11" i="14"/>
  <c r="AA11" i="14"/>
  <c r="I11" i="14"/>
  <c r="K11" i="14"/>
  <c r="D11" i="14"/>
  <c r="X11" i="14"/>
  <c r="C11" i="14"/>
  <c r="F11" i="14"/>
  <c r="R11" i="14"/>
  <c r="V11" i="14"/>
  <c r="Y11" i="14"/>
  <c r="M11" i="14"/>
  <c r="O11" i="14"/>
  <c r="Q11" i="14"/>
  <c r="B24" i="14" l="1"/>
  <c r="X24" i="14"/>
  <c r="G24" i="14"/>
  <c r="AA24" i="14"/>
  <c r="C24" i="14"/>
  <c r="Q24" i="14"/>
  <c r="V24" i="14"/>
  <c r="E24" i="14"/>
  <c r="T24" i="14"/>
  <c r="Y24" i="14"/>
  <c r="H24" i="14"/>
  <c r="W24" i="14"/>
  <c r="K24" i="14"/>
  <c r="J24" i="14"/>
  <c r="O24" i="14"/>
  <c r="L24" i="14"/>
  <c r="S24" i="14"/>
  <c r="M24" i="14"/>
  <c r="R24" i="14"/>
  <c r="AB24" i="14"/>
  <c r="F24" i="14"/>
  <c r="P24" i="14"/>
  <c r="U24" i="14"/>
  <c r="Z24" i="14"/>
  <c r="D24" i="14"/>
  <c r="I24" i="14"/>
  <c r="N24" i="14"/>
  <c r="B26" i="14" l="1"/>
  <c r="B27" i="14"/>
  <c r="B28" i="14" s="1"/>
  <c r="C15" i="14" l="1"/>
  <c r="C19" i="14" s="1"/>
  <c r="E15" i="14"/>
  <c r="E19" i="14" s="1"/>
  <c r="D15" i="14"/>
  <c r="D19" i="14" s="1"/>
  <c r="AB15" i="14"/>
  <c r="AB19" i="14" s="1"/>
  <c r="Y15" i="14"/>
  <c r="Y19" i="14" s="1"/>
  <c r="AA15" i="14"/>
  <c r="AA19" i="14" s="1"/>
  <c r="V15" i="14"/>
  <c r="V19" i="14" s="1"/>
  <c r="M15" i="14"/>
  <c r="M19" i="14" s="1"/>
  <c r="H15" i="14"/>
  <c r="H19" i="14" s="1"/>
  <c r="Z15" i="14"/>
  <c r="Z19" i="14" s="1"/>
  <c r="X15" i="14"/>
  <c r="X19" i="14" s="1"/>
  <c r="N15" i="14"/>
  <c r="N19" i="14" s="1"/>
  <c r="U15" i="14"/>
  <c r="U19" i="14" s="1"/>
  <c r="W15" i="14"/>
  <c r="W19" i="14" s="1"/>
  <c r="K15" i="14"/>
  <c r="K19" i="14" s="1"/>
  <c r="R15" i="14"/>
  <c r="R19" i="14" s="1"/>
  <c r="S15" i="14"/>
  <c r="S19" i="14" s="1"/>
  <c r="J15" i="14"/>
  <c r="J19" i="14" s="1"/>
  <c r="F15" i="14"/>
  <c r="F19" i="14" s="1"/>
  <c r="O15" i="14"/>
  <c r="O19" i="14" s="1"/>
  <c r="T15" i="14"/>
  <c r="T19" i="14" s="1"/>
  <c r="L15" i="14"/>
  <c r="L19" i="14" s="1"/>
  <c r="Q15" i="14"/>
  <c r="Q19" i="14" s="1"/>
  <c r="P15" i="14"/>
  <c r="P19" i="14" s="1"/>
  <c r="I15" i="14"/>
  <c r="I19" i="14" s="1"/>
  <c r="G15" i="14"/>
  <c r="G1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</author>
  </authors>
  <commentList>
    <comment ref="A8" authorId="0" shapeId="0" xr:uid="{6E95C2CF-7008-418B-9708-E50A4580DE59}">
      <text>
        <r>
          <rPr>
            <b/>
            <sz val="9"/>
            <color indexed="81"/>
            <rFont val="Tahoma"/>
            <family val="2"/>
          </rPr>
          <t>kenny:</t>
        </r>
        <r>
          <rPr>
            <sz val="9"/>
            <color indexed="81"/>
            <rFont val="Tahoma"/>
            <family val="2"/>
          </rPr>
          <t xml:space="preserve">
Use more recent averages and standard deviation of weekly uses to produce more accuracte analysis.</t>
        </r>
      </text>
    </comment>
    <comment ref="A12" authorId="0" shapeId="0" xr:uid="{C33FE38E-78DF-40E0-BB43-6735C0E24B2C}">
      <text>
        <r>
          <rPr>
            <b/>
            <sz val="9"/>
            <color indexed="81"/>
            <rFont val="Tahoma"/>
            <family val="2"/>
          </rPr>
          <t>kenny:</t>
        </r>
        <r>
          <rPr>
            <sz val="9"/>
            <color indexed="81"/>
            <rFont val="Tahoma"/>
            <family val="2"/>
          </rPr>
          <t xml:space="preserve">
Update Unit Price of each model for more accurate analysis.</t>
        </r>
      </text>
    </comment>
  </commentList>
</comments>
</file>

<file path=xl/sharedStrings.xml><?xml version="1.0" encoding="utf-8"?>
<sst xmlns="http://schemas.openxmlformats.org/spreadsheetml/2006/main" count="667" uniqueCount="212">
  <si>
    <t>% type 1 service</t>
  </si>
  <si>
    <t>301/4"X97"</t>
  </si>
  <si>
    <t>301/4"X121"</t>
  </si>
  <si>
    <t>301/4"X145"</t>
  </si>
  <si>
    <t>491/4"x97"</t>
  </si>
  <si>
    <t>491/4"x121"</t>
  </si>
  <si>
    <t>491/4"x145"</t>
  </si>
  <si>
    <t>301/4"x97"</t>
  </si>
  <si>
    <t>301/4"x121"</t>
  </si>
  <si>
    <t>301/4"x145"</t>
  </si>
  <si>
    <t>49"x97"</t>
  </si>
  <si>
    <t>49"x121"</t>
  </si>
  <si>
    <t>49"x145"</t>
  </si>
  <si>
    <t>30"x97"</t>
  </si>
  <si>
    <t>30"x121"</t>
  </si>
  <si>
    <t>30"x144"</t>
  </si>
  <si>
    <t>8'PB</t>
  </si>
  <si>
    <t>10'PB</t>
  </si>
  <si>
    <t>12'PB</t>
  </si>
  <si>
    <t>4x8'PB</t>
  </si>
  <si>
    <t>4x10'PB</t>
  </si>
  <si>
    <t>4x12'PB</t>
  </si>
  <si>
    <t>8'MDF</t>
  </si>
  <si>
    <t>10'MDF</t>
  </si>
  <si>
    <t>12'MDF</t>
  </si>
  <si>
    <t>4x8'MDF</t>
  </si>
  <si>
    <t>4x10'MDF</t>
  </si>
  <si>
    <t>4x12'MDF</t>
  </si>
  <si>
    <t>8'Plywood</t>
  </si>
  <si>
    <t>10'Plywood</t>
  </si>
  <si>
    <t>12'Plywood</t>
  </si>
  <si>
    <t>4x8'Plywood</t>
  </si>
  <si>
    <t>4x10'Plywood</t>
  </si>
  <si>
    <t>4x12'Plywood</t>
  </si>
  <si>
    <t>8'SkyblendFSC</t>
  </si>
  <si>
    <t>10'SkyblendFSC</t>
  </si>
  <si>
    <t>12'SkyblendFSC</t>
  </si>
  <si>
    <t>4x8'SkyblendFSC</t>
  </si>
  <si>
    <t>4x10'SkyblendFSC</t>
  </si>
  <si>
    <t>4x12'SkyblendFSC</t>
  </si>
  <si>
    <t>8'RoseburgBoard</t>
  </si>
  <si>
    <t>10'RoseburgBoard</t>
  </si>
  <si>
    <t>12'RoseburgBoard</t>
  </si>
  <si>
    <t>Pieces/truck</t>
  </si>
  <si>
    <t>Lead time in business days</t>
  </si>
  <si>
    <t>price/truck</t>
  </si>
  <si>
    <t>Std. Weekly Use</t>
  </si>
  <si>
    <t>Mean in lead time</t>
  </si>
  <si>
    <t>Reorder Point (s)</t>
  </si>
  <si>
    <t>Reorder To (S)</t>
  </si>
  <si>
    <t>Lamda (annual demand)</t>
  </si>
  <si>
    <t>Starting inventory (u)</t>
  </si>
  <si>
    <t>61"x145"</t>
  </si>
  <si>
    <t>61"x145</t>
  </si>
  <si>
    <t>61"x121"</t>
  </si>
  <si>
    <t>61"x97"</t>
  </si>
  <si>
    <t>Date</t>
  </si>
  <si>
    <t>In Storage/On Order</t>
  </si>
  <si>
    <t>5x12'SkyblendFSC</t>
  </si>
  <si>
    <t>5x12'MDF</t>
  </si>
  <si>
    <t>5x10'MDF</t>
  </si>
  <si>
    <t>5x8'MDF</t>
  </si>
  <si>
    <t>5x8'Medex</t>
  </si>
  <si>
    <t>5x10'Medex</t>
  </si>
  <si>
    <t>In Storage</t>
  </si>
  <si>
    <t>On Order</t>
  </si>
  <si>
    <t>New Order</t>
  </si>
  <si>
    <t>18/0</t>
  </si>
  <si>
    <t>Average</t>
  </si>
  <si>
    <t>Inventory Date Ending</t>
  </si>
  <si>
    <t>EOQ</t>
  </si>
  <si>
    <t>Interest Rate</t>
  </si>
  <si>
    <t>holding cost (c)</t>
  </si>
  <si>
    <t>Estimated Safety Stock</t>
  </si>
  <si>
    <t>No. of Trucks</t>
  </si>
  <si>
    <t>Order quantity</t>
  </si>
  <si>
    <t>Final Order Quantity</t>
  </si>
  <si>
    <t>Avg Weekly Use</t>
  </si>
  <si>
    <t>Update Freq</t>
  </si>
  <si>
    <t>As needed</t>
  </si>
  <si>
    <t>Vendor</t>
  </si>
  <si>
    <t>Georgia-Pacific</t>
  </si>
  <si>
    <t>Arauco</t>
  </si>
  <si>
    <t>Pacific Wood</t>
  </si>
  <si>
    <t>Roseburg</t>
  </si>
  <si>
    <t>Pieces/bundle</t>
  </si>
  <si>
    <t>*Limiting factor for Pieces/truck is weight</t>
  </si>
  <si>
    <t>Max Weekly Use</t>
  </si>
  <si>
    <t>As Desired</t>
  </si>
  <si>
    <t>Weeks of data</t>
  </si>
  <si>
    <t>&gt;% Orders filled without safety stock</t>
  </si>
  <si>
    <t>&lt;% inventory exceeding capacity</t>
  </si>
  <si>
    <t>T-value Safety stock</t>
  </si>
  <si>
    <t>T-value Excess stock</t>
  </si>
  <si>
    <t>Use during lead time (lambda)</t>
  </si>
  <si>
    <t>+ Space</t>
  </si>
  <si>
    <t>Layout Space Limitation</t>
  </si>
  <si>
    <t>Weeks between orders</t>
  </si>
  <si>
    <t>Maximum Inventory Order Point</t>
  </si>
  <si>
    <t>Top of reorder window</t>
  </si>
  <si>
    <t>Bottom of reorder window</t>
  </si>
  <si>
    <t>Buffer Amount</t>
  </si>
  <si>
    <t>Setup Cost</t>
  </si>
  <si>
    <t>Unit Price</t>
  </si>
  <si>
    <t>Remainder Coefficient</t>
  </si>
  <si>
    <t>Total No. of Trucks</t>
  </si>
  <si>
    <t>Total Setup + Purchase Cost</t>
  </si>
  <si>
    <t>Reorder Point ®</t>
  </si>
  <si>
    <t>Product ID</t>
  </si>
  <si>
    <t>Product Dimension</t>
  </si>
  <si>
    <t>Product Type</t>
  </si>
  <si>
    <t>4x12' Plywood FSC</t>
  </si>
  <si>
    <t xml:space="preserve">49" x 145"  </t>
  </si>
  <si>
    <t>4x10' Plywood FSC</t>
  </si>
  <si>
    <t xml:space="preserve">49" x 121"   </t>
  </si>
  <si>
    <t>4x8' Plywood FSC</t>
  </si>
  <si>
    <t xml:space="preserve">49" x 97"     </t>
  </si>
  <si>
    <t>12' Plywood FSC</t>
  </si>
  <si>
    <t xml:space="preserve">30 1/4 X 145"  </t>
  </si>
  <si>
    <t>10' Plywood FSC</t>
  </si>
  <si>
    <t xml:space="preserve">30 1/4 x 121"  </t>
  </si>
  <si>
    <t>8' Plywood FSC</t>
  </si>
  <si>
    <t xml:space="preserve">30 1/4 x 97"    </t>
  </si>
  <si>
    <t>4x8' Plywood</t>
  </si>
  <si>
    <t xml:space="preserve">49 1/4" x 97"  </t>
  </si>
  <si>
    <t>4x10' Plywood</t>
  </si>
  <si>
    <t xml:space="preserve">49 1/4" x 121"   </t>
  </si>
  <si>
    <t>4x12' Plywood</t>
  </si>
  <si>
    <t xml:space="preserve">49 1/4" x 145"   </t>
  </si>
  <si>
    <t>8' Plywood</t>
  </si>
  <si>
    <t xml:space="preserve">30 1/4" x   97" </t>
  </si>
  <si>
    <t>10' Plywood</t>
  </si>
  <si>
    <t>30 1/4" x 121"</t>
  </si>
  <si>
    <t>12' Plywood</t>
  </si>
  <si>
    <t xml:space="preserve">30 1/4" x 145" </t>
  </si>
  <si>
    <t>Plywood</t>
  </si>
  <si>
    <t>5x10' Medex</t>
  </si>
  <si>
    <t xml:space="preserve">61" x 121"   </t>
  </si>
  <si>
    <t>5x8' Medex</t>
  </si>
  <si>
    <t>61" x 97"</t>
  </si>
  <si>
    <t>5x8' MDF</t>
  </si>
  <si>
    <t xml:space="preserve">61" x  97"         </t>
  </si>
  <si>
    <t>5x10' MDF</t>
  </si>
  <si>
    <t xml:space="preserve">61" x 121"         </t>
  </si>
  <si>
    <t>5x12' MDF</t>
  </si>
  <si>
    <t xml:space="preserve">61" x 145         </t>
  </si>
  <si>
    <t>4x8' MDF</t>
  </si>
  <si>
    <t xml:space="preserve">49" x 97"        </t>
  </si>
  <si>
    <t>4x10' MDF</t>
  </si>
  <si>
    <t xml:space="preserve">49" x 121"       </t>
  </si>
  <si>
    <t>4x12' MDF</t>
  </si>
  <si>
    <t xml:space="preserve">49" x 145"      </t>
  </si>
  <si>
    <t>8' MDF</t>
  </si>
  <si>
    <t xml:space="preserve">30 1/4" x 97"     </t>
  </si>
  <si>
    <t>10' MDF</t>
  </si>
  <si>
    <t xml:space="preserve">30 1/4" x 121"   </t>
  </si>
  <si>
    <t>12' MDF</t>
  </si>
  <si>
    <t xml:space="preserve">30 1/4" x 145"   </t>
  </si>
  <si>
    <t>MDF</t>
  </si>
  <si>
    <t>8' Covestick</t>
  </si>
  <si>
    <t xml:space="preserve">30 1/4" X 97"              </t>
  </si>
  <si>
    <t>10' Covestick</t>
  </si>
  <si>
    <t xml:space="preserve">30 1/4" X 121"            </t>
  </si>
  <si>
    <t>12' Covestick</t>
  </si>
  <si>
    <t xml:space="preserve">30 1/4" X 145"            </t>
  </si>
  <si>
    <t>5x12' Skyblend FSC</t>
  </si>
  <si>
    <t xml:space="preserve">61" x 145" </t>
  </si>
  <si>
    <t>4x8' Skyblend FSC</t>
  </si>
  <si>
    <t xml:space="preserve">49"  x 97" </t>
  </si>
  <si>
    <t>4x10' Skyblend FSC</t>
  </si>
  <si>
    <t xml:space="preserve">49" x 121" </t>
  </si>
  <si>
    <t>4x12' Skyblend FSC</t>
  </si>
  <si>
    <t xml:space="preserve">49" x 145" </t>
  </si>
  <si>
    <t>8' Skyblend FSC</t>
  </si>
  <si>
    <t xml:space="preserve">30" x 97"       </t>
  </si>
  <si>
    <t>10' Skyblend FSC</t>
  </si>
  <si>
    <t xml:space="preserve">30" x 121"                   </t>
  </si>
  <si>
    <t>12' Skyblend FSC</t>
  </si>
  <si>
    <t xml:space="preserve">30" x 144"                  </t>
  </si>
  <si>
    <t>4x8' PB</t>
  </si>
  <si>
    <t xml:space="preserve">49 1/4" x  97"   </t>
  </si>
  <si>
    <t>4x10' PB</t>
  </si>
  <si>
    <t>4x12' PB</t>
  </si>
  <si>
    <t>8' PB</t>
  </si>
  <si>
    <t>10' PB</t>
  </si>
  <si>
    <t>12' PB</t>
  </si>
  <si>
    <t>Particle Board</t>
  </si>
  <si>
    <t>Last count</t>
  </si>
  <si>
    <t>Written Count</t>
  </si>
  <si>
    <t>Description</t>
  </si>
  <si>
    <t>Board Size</t>
  </si>
  <si>
    <t>Item #</t>
  </si>
  <si>
    <t>Type</t>
  </si>
  <si>
    <t>Counter:</t>
  </si>
  <si>
    <t>Date:</t>
  </si>
  <si>
    <t>Board Inventory Count Sheet</t>
  </si>
  <si>
    <t>FSC Plywood</t>
  </si>
  <si>
    <t>Wide MDF</t>
  </si>
  <si>
    <t>8' Roseburg Board</t>
  </si>
  <si>
    <t>10' Roseburg Board</t>
  </si>
  <si>
    <t>12' Roseburg Board</t>
  </si>
  <si>
    <t>Weeks of storage+ transit inventory (less lead time)</t>
  </si>
  <si>
    <t>lead time</t>
  </si>
  <si>
    <t>Days of boards</t>
  </si>
  <si>
    <t>Boards per day</t>
  </si>
  <si>
    <t>Order at most this many more boards</t>
  </si>
  <si>
    <t>Minimum</t>
  </si>
  <si>
    <t>Order Count</t>
  </si>
  <si>
    <t>Maximum</t>
  </si>
  <si>
    <t>Supplier</t>
  </si>
  <si>
    <t>means same supplier</t>
  </si>
  <si>
    <t>Note: Same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</si>
</sst>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22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9C6500"/>
      <name val="Calibri"/>
      <family val="2"/>
      <scheme val="minor"/>
    </font>
    <font>
      <sz val="9"/>
      <name val="Calibri"/>
      <family val="2"/>
      <charset val="134"/>
      <scheme val="minor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8"/>
      <name val="Arial"/>
      <family val="2"/>
    </font>
    <font>
      <sz val="9"/>
      <color indexed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9">
    <xf numFmtId="0" fontId="0" fillId="0" borderId="0">
      <alignment vertical="center"/>
    </xf>
    <xf numFmtId="44" fontId="1" fillId="0" borderId="0" applyFont="0" applyFill="0" applyBorder="0" applyAlignment="0" applyProtection="0"/>
    <xf numFmtId="0" fontId="2" fillId="3" borderId="1" applyNumberFormat="0" applyAlignment="0" applyProtection="0"/>
    <xf numFmtId="0" fontId="3" fillId="0" borderId="0" applyNumberFormat="0" applyFill="0" applyBorder="0" applyAlignment="0" applyProtection="0"/>
    <xf numFmtId="0" fontId="6" fillId="0" borderId="0"/>
    <xf numFmtId="0" fontId="5" fillId="0" borderId="0"/>
    <xf numFmtId="9" fontId="1" fillId="0" borderId="0" applyFont="0" applyFill="0" applyBorder="0" applyAlignment="0" applyProtection="0"/>
    <xf numFmtId="0" fontId="8" fillId="8" borderId="0" applyNumberFormat="0" applyBorder="0" applyAlignment="0" applyProtection="0"/>
    <xf numFmtId="0" fontId="14" fillId="0" borderId="0"/>
  </cellStyleXfs>
  <cellXfs count="286">
    <xf numFmtId="0" fontId="0" fillId="0" borderId="0" xfId="0">
      <alignment vertical="center"/>
    </xf>
    <xf numFmtId="0" fontId="0" fillId="0" borderId="0" xfId="0" applyAlignment="1"/>
    <xf numFmtId="0" fontId="0" fillId="0" borderId="0" xfId="0" applyFill="1" applyAlignme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3" fillId="0" borderId="0" xfId="3" applyAlignment="1">
      <alignment vertical="center"/>
    </xf>
    <xf numFmtId="0" fontId="3" fillId="0" borderId="0" xfId="3" applyAlignment="1"/>
    <xf numFmtId="15" fontId="6" fillId="0" borderId="0" xfId="4" applyNumberFormat="1"/>
    <xf numFmtId="0" fontId="6" fillId="0" borderId="0" xfId="4"/>
    <xf numFmtId="0" fontId="4" fillId="0" borderId="2" xfId="4" applyFont="1" applyBorder="1" applyAlignment="1">
      <alignment horizontal="center"/>
    </xf>
    <xf numFmtId="0" fontId="4" fillId="6" borderId="2" xfId="4" applyFont="1" applyFill="1" applyBorder="1" applyAlignment="1">
      <alignment horizontal="center"/>
    </xf>
    <xf numFmtId="0" fontId="4" fillId="0" borderId="3" xfId="4" applyFont="1" applyBorder="1" applyAlignment="1">
      <alignment horizontal="center"/>
    </xf>
    <xf numFmtId="15" fontId="5" fillId="0" borderId="0" xfId="4" applyNumberFormat="1" applyFont="1"/>
    <xf numFmtId="0" fontId="5" fillId="0" borderId="0" xfId="4" applyFont="1"/>
    <xf numFmtId="0" fontId="4" fillId="0" borderId="2" xfId="4" applyFont="1" applyBorder="1"/>
    <xf numFmtId="0" fontId="4" fillId="6" borderId="2" xfId="4" applyFont="1" applyFill="1" applyBorder="1"/>
    <xf numFmtId="0" fontId="4" fillId="6" borderId="2" xfId="4" applyFont="1" applyFill="1" applyBorder="1" applyAlignment="1">
      <alignment horizontal="left"/>
    </xf>
    <xf numFmtId="0" fontId="4" fillId="5" borderId="2" xfId="4" applyFont="1" applyFill="1" applyBorder="1"/>
    <xf numFmtId="0" fontId="4" fillId="0" borderId="4" xfId="4" applyFont="1" applyBorder="1"/>
    <xf numFmtId="15" fontId="5" fillId="0" borderId="0" xfId="5" applyNumberFormat="1"/>
    <xf numFmtId="0" fontId="5" fillId="0" borderId="0" xfId="5"/>
    <xf numFmtId="15" fontId="6" fillId="2" borderId="0" xfId="4" applyNumberFormat="1" applyFill="1"/>
    <xf numFmtId="0" fontId="6" fillId="2" borderId="0" xfId="4" applyFill="1"/>
    <xf numFmtId="164" fontId="6" fillId="0" borderId="0" xfId="4" applyNumberFormat="1"/>
    <xf numFmtId="0" fontId="7" fillId="0" borderId="5" xfId="4" applyFont="1" applyBorder="1" applyAlignment="1">
      <alignment wrapText="1"/>
    </xf>
    <xf numFmtId="0" fontId="8" fillId="8" borderId="0" xfId="7" applyAlignment="1">
      <alignment vertical="center"/>
    </xf>
    <xf numFmtId="0" fontId="7" fillId="0" borderId="0" xfId="5" applyFont="1"/>
    <xf numFmtId="0" fontId="5" fillId="4" borderId="0" xfId="5" applyFill="1"/>
    <xf numFmtId="0" fontId="4" fillId="4" borderId="2" xfId="5" applyFont="1" applyFill="1" applyBorder="1" applyAlignment="1">
      <alignment horizontal="center"/>
    </xf>
    <xf numFmtId="0" fontId="5" fillId="10" borderId="0" xfId="5" applyFill="1"/>
    <xf numFmtId="0" fontId="4" fillId="4" borderId="3" xfId="5" applyFont="1" applyFill="1" applyBorder="1" applyAlignment="1">
      <alignment horizontal="center"/>
    </xf>
    <xf numFmtId="0" fontId="4" fillId="4" borderId="2" xfId="5" applyFont="1" applyFill="1" applyBorder="1"/>
    <xf numFmtId="0" fontId="4" fillId="4" borderId="2" xfId="5" applyFont="1" applyFill="1" applyBorder="1" applyAlignment="1">
      <alignment horizontal="left"/>
    </xf>
    <xf numFmtId="0" fontId="4" fillId="4" borderId="4" xfId="5" applyFont="1" applyFill="1" applyBorder="1"/>
    <xf numFmtId="0" fontId="5" fillId="0" borderId="0" xfId="5" applyFont="1"/>
    <xf numFmtId="0" fontId="5" fillId="0" borderId="0" xfId="5" applyFont="1" applyFill="1" applyBorder="1"/>
    <xf numFmtId="0" fontId="5" fillId="0" borderId="0" xfId="5" applyFont="1" applyAlignment="1"/>
    <xf numFmtId="0" fontId="5" fillId="0" borderId="0" xfId="5" applyAlignment="1"/>
    <xf numFmtId="0" fontId="5" fillId="4" borderId="0" xfId="5" applyFont="1" applyFill="1"/>
    <xf numFmtId="9" fontId="5" fillId="0" borderId="0" xfId="5" applyNumberFormat="1"/>
    <xf numFmtId="0" fontId="5" fillId="4" borderId="0" xfId="5" applyFont="1" applyFill="1" applyBorder="1"/>
    <xf numFmtId="0" fontId="10" fillId="0" borderId="0" xfId="5" quotePrefix="1" applyFont="1"/>
    <xf numFmtId="0" fontId="5" fillId="0" borderId="0" xfId="5" applyFill="1"/>
    <xf numFmtId="0" fontId="7" fillId="4" borderId="0" xfId="5" applyFont="1" applyFill="1"/>
    <xf numFmtId="0" fontId="10" fillId="0" borderId="0" xfId="5" applyFont="1"/>
    <xf numFmtId="0" fontId="10" fillId="10" borderId="0" xfId="5" applyFont="1" applyFill="1"/>
    <xf numFmtId="0" fontId="5" fillId="11" borderId="0" xfId="5" applyFill="1"/>
    <xf numFmtId="0" fontId="7" fillId="11" borderId="6" xfId="5" applyFont="1" applyFill="1" applyBorder="1"/>
    <xf numFmtId="0" fontId="7" fillId="11" borderId="7" xfId="5" applyFont="1" applyFill="1" applyBorder="1"/>
    <xf numFmtId="0" fontId="7" fillId="10" borderId="7" xfId="5" applyFont="1" applyFill="1" applyBorder="1"/>
    <xf numFmtId="0" fontId="7" fillId="11" borderId="8" xfId="5" applyFont="1" applyFill="1" applyBorder="1"/>
    <xf numFmtId="0" fontId="7" fillId="11" borderId="9" xfId="5" applyFont="1" applyFill="1" applyBorder="1"/>
    <xf numFmtId="0" fontId="7" fillId="11" borderId="0" xfId="5" applyFont="1" applyFill="1" applyBorder="1"/>
    <xf numFmtId="0" fontId="7" fillId="10" borderId="0" xfId="5" applyFont="1" applyFill="1" applyBorder="1"/>
    <xf numFmtId="0" fontId="7" fillId="11" borderId="10" xfId="5" applyFont="1" applyFill="1" applyBorder="1"/>
    <xf numFmtId="0" fontId="5" fillId="11" borderId="0" xfId="5" applyFont="1" applyFill="1" applyBorder="1" applyAlignment="1">
      <alignment horizontal="left"/>
    </xf>
    <xf numFmtId="0" fontId="7" fillId="11" borderId="11" xfId="5" applyFont="1" applyFill="1" applyBorder="1"/>
    <xf numFmtId="0" fontId="7" fillId="11" borderId="12" xfId="5" applyFont="1" applyFill="1" applyBorder="1"/>
    <xf numFmtId="0" fontId="7" fillId="10" borderId="12" xfId="5" applyFont="1" applyFill="1" applyBorder="1"/>
    <xf numFmtId="0" fontId="7" fillId="11" borderId="13" xfId="5" applyFont="1" applyFill="1" applyBorder="1"/>
    <xf numFmtId="0" fontId="5" fillId="0" borderId="0" xfId="5" applyFont="1" applyBorder="1" applyAlignment="1"/>
    <xf numFmtId="0" fontId="5" fillId="10" borderId="0" xfId="5" applyFont="1" applyFill="1" applyBorder="1" applyAlignment="1"/>
    <xf numFmtId="0" fontId="5" fillId="0" borderId="0" xfId="5" applyFont="1" applyBorder="1" applyAlignment="1">
      <alignment horizontal="left"/>
    </xf>
    <xf numFmtId="1" fontId="5" fillId="0" borderId="0" xfId="5" applyNumberFormat="1"/>
    <xf numFmtId="2" fontId="5" fillId="0" borderId="0" xfId="5" applyNumberFormat="1"/>
    <xf numFmtId="2" fontId="5" fillId="10" borderId="0" xfId="5" applyNumberFormat="1" applyFill="1"/>
    <xf numFmtId="1" fontId="5" fillId="10" borderId="0" xfId="5" applyNumberFormat="1" applyFill="1"/>
    <xf numFmtId="0" fontId="4" fillId="4" borderId="4" xfId="0" applyFont="1" applyFill="1" applyBorder="1" applyAlignment="1">
      <alignment horizont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7" borderId="0" xfId="6" applyFon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1" fontId="6" fillId="2" borderId="0" xfId="4" applyNumberFormat="1" applyFill="1" applyAlignment="1">
      <alignment horizontal="center"/>
    </xf>
    <xf numFmtId="1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44" fontId="0" fillId="2" borderId="0" xfId="0" applyNumberFormat="1" applyFill="1" applyAlignment="1">
      <alignment horizontal="center" vertical="center"/>
    </xf>
    <xf numFmtId="44" fontId="2" fillId="3" borderId="1" xfId="2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3" applyAlignment="1">
      <alignment horizontal="center" vertical="center"/>
    </xf>
    <xf numFmtId="0" fontId="0" fillId="0" borderId="0" xfId="0" applyAlignment="1">
      <alignment horizontal="center"/>
    </xf>
    <xf numFmtId="6" fontId="0" fillId="2" borderId="0" xfId="0" applyNumberFormat="1" applyFill="1" applyAlignment="1">
      <alignment horizontal="center" vertical="center"/>
    </xf>
    <xf numFmtId="44" fontId="0" fillId="2" borderId="0" xfId="1" applyFont="1" applyFill="1" applyAlignment="1">
      <alignment horizontal="center" vertical="center"/>
    </xf>
    <xf numFmtId="15" fontId="6" fillId="2" borderId="0" xfId="4" applyNumberFormat="1" applyFill="1" applyAlignment="1">
      <alignment horizontal="center"/>
    </xf>
    <xf numFmtId="8" fontId="8" fillId="8" borderId="0" xfId="7" applyNumberFormat="1" applyAlignment="1">
      <alignment vertical="center"/>
    </xf>
    <xf numFmtId="6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4" fontId="0" fillId="0" borderId="0" xfId="1" applyFont="1" applyFill="1" applyAlignment="1">
      <alignment horizontal="center" vertical="center"/>
    </xf>
    <xf numFmtId="15" fontId="6" fillId="0" borderId="0" xfId="4" applyNumberFormat="1" applyFill="1" applyAlignment="1">
      <alignment horizontal="center"/>
    </xf>
    <xf numFmtId="0" fontId="14" fillId="0" borderId="0" xfId="8"/>
    <xf numFmtId="0" fontId="14" fillId="0" borderId="0" xfId="8" applyFill="1"/>
    <xf numFmtId="0" fontId="15" fillId="0" borderId="0" xfId="8" applyFont="1"/>
    <xf numFmtId="0" fontId="14" fillId="0" borderId="0" xfId="8" applyBorder="1" applyAlignment="1"/>
    <xf numFmtId="0" fontId="14" fillId="0" borderId="0" xfId="8" applyBorder="1"/>
    <xf numFmtId="0" fontId="16" fillId="5" borderId="0" xfId="8" applyFont="1" applyFill="1" applyBorder="1"/>
    <xf numFmtId="0" fontId="16" fillId="6" borderId="0" xfId="8" applyFont="1" applyFill="1" applyBorder="1"/>
    <xf numFmtId="0" fontId="17" fillId="0" borderId="14" xfId="8" applyFont="1" applyBorder="1" applyAlignment="1">
      <alignment horizontal="center"/>
    </xf>
    <xf numFmtId="0" fontId="17" fillId="5" borderId="15" xfId="8" applyFont="1" applyFill="1" applyBorder="1" applyAlignment="1">
      <alignment horizontal="center"/>
    </xf>
    <xf numFmtId="0" fontId="14" fillId="5" borderId="15" xfId="8" applyFill="1" applyBorder="1"/>
    <xf numFmtId="0" fontId="18" fillId="5" borderId="12" xfId="8" applyFont="1" applyFill="1" applyBorder="1"/>
    <xf numFmtId="0" fontId="18" fillId="5" borderId="15" xfId="8" applyFont="1" applyFill="1" applyBorder="1"/>
    <xf numFmtId="0" fontId="18" fillId="5" borderId="11" xfId="8" applyFont="1" applyFill="1" applyBorder="1"/>
    <xf numFmtId="0" fontId="17" fillId="6" borderId="14" xfId="8" applyFont="1" applyFill="1" applyBorder="1" applyAlignment="1">
      <alignment horizontal="center"/>
    </xf>
    <xf numFmtId="0" fontId="14" fillId="6" borderId="14" xfId="8" applyFill="1" applyBorder="1"/>
    <xf numFmtId="0" fontId="18" fillId="6" borderId="0" xfId="8" applyFont="1" applyFill="1" applyBorder="1"/>
    <xf numFmtId="0" fontId="18" fillId="6" borderId="14" xfId="8" applyFont="1" applyFill="1" applyBorder="1"/>
    <xf numFmtId="0" fontId="18" fillId="6" borderId="9" xfId="8" applyFont="1" applyFill="1" applyBorder="1"/>
    <xf numFmtId="0" fontId="17" fillId="5" borderId="14" xfId="8" applyFont="1" applyFill="1" applyBorder="1" applyAlignment="1">
      <alignment horizontal="center"/>
    </xf>
    <xf numFmtId="0" fontId="14" fillId="5" borderId="14" xfId="8" applyFill="1" applyBorder="1"/>
    <xf numFmtId="0" fontId="18" fillId="5" borderId="0" xfId="8" applyFont="1" applyFill="1" applyBorder="1"/>
    <xf numFmtId="0" fontId="18" fillId="5" borderId="14" xfId="8" applyFont="1" applyFill="1" applyBorder="1"/>
    <xf numFmtId="0" fontId="18" fillId="5" borderId="9" xfId="8" applyFont="1" applyFill="1" applyBorder="1"/>
    <xf numFmtId="0" fontId="17" fillId="5" borderId="9" xfId="8" applyFont="1" applyFill="1" applyBorder="1" applyAlignment="1">
      <alignment horizontal="center"/>
    </xf>
    <xf numFmtId="0" fontId="17" fillId="6" borderId="9" xfId="8" applyFont="1" applyFill="1" applyBorder="1" applyAlignment="1">
      <alignment horizontal="center"/>
    </xf>
    <xf numFmtId="0" fontId="16" fillId="0" borderId="0" xfId="8" applyFont="1" applyFill="1" applyBorder="1"/>
    <xf numFmtId="0" fontId="17" fillId="0" borderId="9" xfId="8" applyFont="1" applyFill="1" applyBorder="1" applyAlignment="1">
      <alignment horizontal="center"/>
    </xf>
    <xf numFmtId="0" fontId="14" fillId="0" borderId="14" xfId="8" applyFill="1" applyBorder="1"/>
    <xf numFmtId="0" fontId="18" fillId="0" borderId="0" xfId="8" applyFont="1" applyFill="1" applyBorder="1"/>
    <xf numFmtId="0" fontId="18" fillId="0" borderId="14" xfId="8" applyFont="1" applyFill="1" applyBorder="1"/>
    <xf numFmtId="0" fontId="18" fillId="0" borderId="9" xfId="8" applyFont="1" applyFill="1" applyBorder="1"/>
    <xf numFmtId="0" fontId="17" fillId="0" borderId="9" xfId="8" applyFont="1" applyBorder="1" applyAlignment="1">
      <alignment horizontal="center"/>
    </xf>
    <xf numFmtId="0" fontId="14" fillId="0" borderId="14" xfId="8" applyBorder="1"/>
    <xf numFmtId="0" fontId="4" fillId="0" borderId="0" xfId="8" applyFont="1" applyBorder="1" applyAlignment="1">
      <alignment horizontal="center"/>
    </xf>
    <xf numFmtId="0" fontId="19" fillId="0" borderId="19" xfId="8" applyFont="1" applyBorder="1" applyAlignment="1">
      <alignment horizontal="center"/>
    </xf>
    <xf numFmtId="0" fontId="19" fillId="0" borderId="20" xfId="8" applyFont="1" applyBorder="1" applyAlignment="1">
      <alignment horizontal="center"/>
    </xf>
    <xf numFmtId="0" fontId="19" fillId="0" borderId="21" xfId="8" applyFont="1" applyBorder="1" applyAlignment="1">
      <alignment horizontal="center"/>
    </xf>
    <xf numFmtId="0" fontId="19" fillId="0" borderId="22" xfId="8" applyFont="1" applyBorder="1" applyAlignment="1">
      <alignment horizontal="center"/>
    </xf>
    <xf numFmtId="16" fontId="15" fillId="0" borderId="0" xfId="8" applyNumberFormat="1" applyFont="1"/>
    <xf numFmtId="0" fontId="19" fillId="0" borderId="0" xfId="8" applyFont="1"/>
    <xf numFmtId="0" fontId="19" fillId="0" borderId="0" xfId="8" applyFont="1" applyBorder="1"/>
    <xf numFmtId="0" fontId="19" fillId="0" borderId="23" xfId="8" applyFont="1" applyBorder="1"/>
    <xf numFmtId="0" fontId="19" fillId="0" borderId="24" xfId="8" applyFont="1" applyBorder="1"/>
    <xf numFmtId="0" fontId="20" fillId="0" borderId="0" xfId="8" applyFont="1" applyAlignment="1"/>
    <xf numFmtId="0" fontId="20" fillId="0" borderId="0" xfId="8" applyFont="1" applyAlignment="1">
      <alignment horizontal="centerContinuous" vertical="center"/>
    </xf>
    <xf numFmtId="0" fontId="5" fillId="0" borderId="0" xfId="8" applyFont="1"/>
    <xf numFmtId="0" fontId="5" fillId="0" borderId="0" xfId="8" applyFont="1" applyBorder="1" applyAlignment="1"/>
    <xf numFmtId="1" fontId="4" fillId="0" borderId="0" xfId="8" applyNumberFormat="1" applyFont="1" applyBorder="1" applyAlignment="1">
      <alignment horizontal="center" vertical="center"/>
    </xf>
    <xf numFmtId="0" fontId="4" fillId="0" borderId="0" xfId="8" applyFont="1"/>
    <xf numFmtId="1" fontId="4" fillId="0" borderId="0" xfId="8" applyNumberFormat="1" applyFont="1"/>
    <xf numFmtId="0" fontId="4" fillId="0" borderId="25" xfId="8" applyFont="1" applyFill="1" applyBorder="1"/>
    <xf numFmtId="0" fontId="4" fillId="0" borderId="26" xfId="8" applyFont="1" applyFill="1" applyBorder="1"/>
    <xf numFmtId="0" fontId="4" fillId="0" borderId="12" xfId="8" applyFont="1" applyFill="1" applyBorder="1"/>
    <xf numFmtId="1" fontId="4" fillId="0" borderId="12" xfId="8" applyNumberFormat="1" applyFont="1" applyFill="1" applyBorder="1"/>
    <xf numFmtId="0" fontId="4" fillId="5" borderId="27" xfId="8" applyFont="1" applyFill="1" applyBorder="1"/>
    <xf numFmtId="0" fontId="4" fillId="5" borderId="28" xfId="8" applyFont="1" applyFill="1" applyBorder="1"/>
    <xf numFmtId="0" fontId="4" fillId="12" borderId="29" xfId="8" applyFont="1" applyFill="1" applyBorder="1" applyAlignment="1"/>
    <xf numFmtId="0" fontId="4" fillId="5" borderId="12" xfId="8" applyFont="1" applyFill="1" applyBorder="1"/>
    <xf numFmtId="0" fontId="4" fillId="5" borderId="15" xfId="8" applyFont="1" applyFill="1" applyBorder="1"/>
    <xf numFmtId="0" fontId="4" fillId="5" borderId="11" xfId="8" applyFont="1" applyFill="1" applyBorder="1"/>
    <xf numFmtId="0" fontId="4" fillId="0" borderId="30" xfId="8" applyFont="1" applyFill="1" applyBorder="1"/>
    <xf numFmtId="0" fontId="4" fillId="0" borderId="2" xfId="8" applyFont="1" applyFill="1" applyBorder="1"/>
    <xf numFmtId="0" fontId="4" fillId="0" borderId="0" xfId="8" applyFont="1" applyFill="1" applyBorder="1"/>
    <xf numFmtId="1" fontId="4" fillId="0" borderId="0" xfId="8" applyNumberFormat="1" applyFont="1" applyFill="1" applyBorder="1"/>
    <xf numFmtId="0" fontId="4" fillId="6" borderId="31" xfId="8" applyFont="1" applyFill="1" applyBorder="1"/>
    <xf numFmtId="0" fontId="4" fillId="6" borderId="32" xfId="8" applyFont="1" applyFill="1" applyBorder="1"/>
    <xf numFmtId="0" fontId="4" fillId="12" borderId="33" xfId="8" applyFont="1" applyFill="1" applyBorder="1" applyAlignment="1"/>
    <xf numFmtId="0" fontId="4" fillId="6" borderId="0" xfId="8" applyFont="1" applyFill="1" applyBorder="1"/>
    <xf numFmtId="0" fontId="4" fillId="6" borderId="14" xfId="8" applyFont="1" applyFill="1" applyBorder="1"/>
    <xf numFmtId="0" fontId="4" fillId="6" borderId="9" xfId="8" applyFont="1" applyFill="1" applyBorder="1"/>
    <xf numFmtId="0" fontId="4" fillId="5" borderId="31" xfId="8" applyFont="1" applyFill="1" applyBorder="1"/>
    <xf numFmtId="0" fontId="4" fillId="5" borderId="32" xfId="8" applyFont="1" applyFill="1" applyBorder="1"/>
    <xf numFmtId="0" fontId="4" fillId="5" borderId="0" xfId="8" applyFont="1" applyFill="1" applyBorder="1"/>
    <xf numFmtId="0" fontId="4" fillId="5" borderId="14" xfId="8" applyFont="1" applyFill="1" applyBorder="1"/>
    <xf numFmtId="0" fontId="4" fillId="5" borderId="9" xfId="8" applyFont="1" applyFill="1" applyBorder="1"/>
    <xf numFmtId="0" fontId="4" fillId="0" borderId="4" xfId="8" applyFont="1" applyBorder="1" applyAlignment="1">
      <alignment horizontal="right"/>
    </xf>
    <xf numFmtId="0" fontId="4" fillId="0" borderId="34" xfId="8" applyFont="1" applyFill="1" applyBorder="1"/>
    <xf numFmtId="0" fontId="4" fillId="0" borderId="35" xfId="8" applyFont="1" applyFill="1" applyBorder="1"/>
    <xf numFmtId="0" fontId="4" fillId="5" borderId="36" xfId="8" applyFont="1" applyFill="1" applyBorder="1"/>
    <xf numFmtId="0" fontId="4" fillId="5" borderId="37" xfId="8" applyFont="1" applyFill="1" applyBorder="1"/>
    <xf numFmtId="1" fontId="4" fillId="6" borderId="12" xfId="8" applyNumberFormat="1" applyFont="1" applyFill="1" applyBorder="1" applyAlignment="1">
      <alignment horizontal="center"/>
    </xf>
    <xf numFmtId="1" fontId="4" fillId="13" borderId="25" xfId="8" applyNumberFormat="1" applyFont="1" applyFill="1" applyBorder="1"/>
    <xf numFmtId="1" fontId="4" fillId="0" borderId="12" xfId="8" applyNumberFormat="1" applyFont="1" applyFill="1" applyBorder="1" applyAlignment="1">
      <alignment horizontal="center"/>
    </xf>
    <xf numFmtId="0" fontId="4" fillId="0" borderId="39" xfId="8" applyFont="1" applyBorder="1" applyAlignment="1">
      <alignment horizontal="center"/>
    </xf>
    <xf numFmtId="0" fontId="4" fillId="14" borderId="14" xfId="8" applyFont="1" applyFill="1" applyBorder="1" applyAlignment="1"/>
    <xf numFmtId="0" fontId="4" fillId="0" borderId="4" xfId="8" applyFont="1" applyBorder="1"/>
    <xf numFmtId="1" fontId="4" fillId="6" borderId="0" xfId="8" applyNumberFormat="1" applyFont="1" applyFill="1" applyBorder="1" applyAlignment="1">
      <alignment horizontal="center"/>
    </xf>
    <xf numFmtId="1" fontId="4" fillId="13" borderId="30" xfId="8" applyNumberFormat="1" applyFont="1" applyFill="1" applyBorder="1"/>
    <xf numFmtId="1" fontId="4" fillId="0" borderId="0" xfId="8" applyNumberFormat="1" applyFont="1" applyFill="1" applyBorder="1" applyAlignment="1">
      <alignment horizontal="center"/>
    </xf>
    <xf numFmtId="0" fontId="4" fillId="6" borderId="31" xfId="8" applyFont="1" applyFill="1" applyBorder="1" applyAlignment="1">
      <alignment horizontal="right"/>
    </xf>
    <xf numFmtId="0" fontId="4" fillId="6" borderId="32" xfId="8" applyFont="1" applyFill="1" applyBorder="1" applyAlignment="1">
      <alignment horizontal="center"/>
    </xf>
    <xf numFmtId="1" fontId="4" fillId="6" borderId="7" xfId="8" applyNumberFormat="1" applyFont="1" applyFill="1" applyBorder="1" applyAlignment="1">
      <alignment horizontal="center"/>
    </xf>
    <xf numFmtId="1" fontId="4" fillId="13" borderId="40" xfId="8" applyNumberFormat="1" applyFont="1" applyFill="1" applyBorder="1"/>
    <xf numFmtId="0" fontId="4" fillId="0" borderId="41" xfId="8" applyFont="1" applyFill="1" applyBorder="1"/>
    <xf numFmtId="1" fontId="4" fillId="0" borderId="7" xfId="8" applyNumberFormat="1" applyFont="1" applyFill="1" applyBorder="1" applyAlignment="1">
      <alignment horizontal="center"/>
    </xf>
    <xf numFmtId="1" fontId="4" fillId="0" borderId="0" xfId="8" applyNumberFormat="1" applyFont="1" applyBorder="1" applyAlignment="1">
      <alignment horizontal="center"/>
    </xf>
    <xf numFmtId="0" fontId="4" fillId="0" borderId="27" xfId="8" applyFont="1" applyBorder="1" applyAlignment="1">
      <alignment horizontal="right"/>
    </xf>
    <xf numFmtId="0" fontId="4" fillId="0" borderId="28" xfId="8" applyFont="1" applyBorder="1" applyAlignment="1">
      <alignment horizontal="center"/>
    </xf>
    <xf numFmtId="0" fontId="4" fillId="0" borderId="27" xfId="8" applyFont="1" applyBorder="1"/>
    <xf numFmtId="1" fontId="4" fillId="13" borderId="34" xfId="8" applyNumberFormat="1" applyFont="1" applyFill="1" applyBorder="1"/>
    <xf numFmtId="0" fontId="4" fillId="6" borderId="4" xfId="8" applyFont="1" applyFill="1" applyBorder="1" applyAlignment="1">
      <alignment horizontal="right"/>
    </xf>
    <xf numFmtId="0" fontId="4" fillId="14" borderId="38" xfId="8" applyFont="1" applyFill="1" applyBorder="1" applyAlignment="1"/>
    <xf numFmtId="0" fontId="4" fillId="6" borderId="4" xfId="8" applyFont="1" applyFill="1" applyBorder="1"/>
    <xf numFmtId="1" fontId="4" fillId="0" borderId="13" xfId="8" applyNumberFormat="1" applyFont="1" applyBorder="1" applyAlignment="1">
      <alignment horizontal="center" vertical="center"/>
    </xf>
    <xf numFmtId="0" fontId="4" fillId="0" borderId="12" xfId="8" applyFont="1" applyBorder="1"/>
    <xf numFmtId="1" fontId="4" fillId="0" borderId="12" xfId="8" applyNumberFormat="1" applyFont="1" applyBorder="1"/>
    <xf numFmtId="1" fontId="4" fillId="0" borderId="26" xfId="8" applyNumberFormat="1" applyFont="1" applyFill="1" applyBorder="1"/>
    <xf numFmtId="1" fontId="21" fillId="0" borderId="12" xfId="8" applyNumberFormat="1" applyFont="1" applyFill="1" applyBorder="1" applyAlignment="1">
      <alignment horizontal="center"/>
    </xf>
    <xf numFmtId="0" fontId="4" fillId="5" borderId="42" xfId="8" applyFont="1" applyFill="1" applyBorder="1" applyAlignment="1">
      <alignment horizontal="right"/>
    </xf>
    <xf numFmtId="0" fontId="4" fillId="12" borderId="12" xfId="8" applyFont="1" applyFill="1" applyBorder="1" applyAlignment="1"/>
    <xf numFmtId="0" fontId="4" fillId="5" borderId="42" xfId="8" applyFont="1" applyFill="1" applyBorder="1"/>
    <xf numFmtId="1" fontId="4" fillId="0" borderId="10" xfId="8" applyNumberFormat="1" applyFont="1" applyBorder="1" applyAlignment="1">
      <alignment horizontal="center" vertical="center"/>
    </xf>
    <xf numFmtId="0" fontId="4" fillId="0" borderId="0" xfId="8" applyFont="1" applyBorder="1"/>
    <xf numFmtId="1" fontId="4" fillId="0" borderId="0" xfId="8" applyNumberFormat="1" applyFont="1" applyBorder="1"/>
    <xf numFmtId="1" fontId="4" fillId="0" borderId="35" xfId="8" applyNumberFormat="1" applyFont="1" applyFill="1" applyBorder="1"/>
    <xf numFmtId="1" fontId="21" fillId="0" borderId="0" xfId="8" applyNumberFormat="1" applyFont="1" applyFill="1" applyBorder="1" applyAlignment="1">
      <alignment horizontal="center"/>
    </xf>
    <xf numFmtId="0" fontId="4" fillId="6" borderId="43" xfId="8" applyFont="1" applyFill="1" applyBorder="1" applyAlignment="1">
      <alignment horizontal="right"/>
    </xf>
    <xf numFmtId="0" fontId="4" fillId="12" borderId="0" xfId="8" applyFont="1" applyFill="1" applyBorder="1" applyAlignment="1"/>
    <xf numFmtId="0" fontId="4" fillId="6" borderId="43" xfId="8" applyFont="1" applyFill="1" applyBorder="1"/>
    <xf numFmtId="1" fontId="4" fillId="0" borderId="25" xfId="8" applyNumberFormat="1" applyFont="1" applyFill="1" applyBorder="1"/>
    <xf numFmtId="0" fontId="4" fillId="6" borderId="32" xfId="8" applyFont="1" applyFill="1" applyBorder="1" applyAlignment="1">
      <alignment horizontal="right"/>
    </xf>
    <xf numFmtId="0" fontId="4" fillId="15" borderId="11" xfId="8" applyFont="1" applyFill="1" applyBorder="1" applyAlignment="1"/>
    <xf numFmtId="1" fontId="4" fillId="0" borderId="30" xfId="8" applyNumberFormat="1" applyFont="1" applyFill="1" applyBorder="1"/>
    <xf numFmtId="0" fontId="4" fillId="15" borderId="9" xfId="8" applyFont="1" applyFill="1" applyBorder="1" applyAlignment="1"/>
    <xf numFmtId="1" fontId="4" fillId="0" borderId="8" xfId="8" applyNumberFormat="1" applyFont="1" applyBorder="1" applyAlignment="1">
      <alignment horizontal="center" vertical="center"/>
    </xf>
    <xf numFmtId="0" fontId="4" fillId="6" borderId="7" xfId="8" applyFont="1" applyFill="1" applyBorder="1"/>
    <xf numFmtId="1" fontId="4" fillId="0" borderId="7" xfId="8" applyNumberFormat="1" applyFont="1" applyBorder="1"/>
    <xf numFmtId="0" fontId="4" fillId="0" borderId="7" xfId="8" applyFont="1" applyBorder="1"/>
    <xf numFmtId="1" fontId="4" fillId="0" borderId="40" xfId="8" applyNumberFormat="1" applyFont="1" applyFill="1" applyBorder="1"/>
    <xf numFmtId="1" fontId="21" fillId="0" borderId="7" xfId="8" applyNumberFormat="1" applyFont="1" applyFill="1" applyBorder="1" applyAlignment="1">
      <alignment horizontal="center"/>
    </xf>
    <xf numFmtId="0" fontId="4" fillId="15" borderId="6" xfId="8" applyFont="1" applyFill="1" applyBorder="1" applyAlignment="1"/>
    <xf numFmtId="1" fontId="4" fillId="16" borderId="25" xfId="8" applyNumberFormat="1" applyFont="1" applyFill="1" applyBorder="1"/>
    <xf numFmtId="0" fontId="4" fillId="0" borderId="44" xfId="8" applyFont="1" applyFill="1" applyBorder="1"/>
    <xf numFmtId="0" fontId="4" fillId="15" borderId="15" xfId="8" applyFont="1" applyFill="1" applyBorder="1" applyAlignment="1"/>
    <xf numFmtId="1" fontId="4" fillId="16" borderId="30" xfId="8" applyNumberFormat="1" applyFont="1" applyFill="1" applyBorder="1"/>
    <xf numFmtId="0" fontId="4" fillId="0" borderId="45" xfId="8" applyFont="1" applyFill="1" applyBorder="1"/>
    <xf numFmtId="0" fontId="4" fillId="15" borderId="14" xfId="8" applyFont="1" applyFill="1" applyBorder="1" applyAlignment="1"/>
    <xf numFmtId="1" fontId="4" fillId="16" borderId="40" xfId="8" applyNumberFormat="1" applyFont="1" applyFill="1" applyBorder="1"/>
    <xf numFmtId="0" fontId="4" fillId="0" borderId="46" xfId="8" applyFont="1" applyFill="1" applyBorder="1"/>
    <xf numFmtId="1" fontId="4" fillId="0" borderId="12" xfId="8" applyNumberFormat="1" applyFont="1" applyBorder="1" applyAlignment="1">
      <alignment horizontal="center"/>
    </xf>
    <xf numFmtId="1" fontId="4" fillId="16" borderId="47" xfId="8" applyNumberFormat="1" applyFont="1" applyFill="1" applyBorder="1"/>
    <xf numFmtId="0" fontId="4" fillId="0" borderId="48" xfId="8" applyFont="1" applyFill="1" applyBorder="1"/>
    <xf numFmtId="1" fontId="14" fillId="0" borderId="0" xfId="8" applyNumberFormat="1" applyBorder="1" applyAlignment="1">
      <alignment horizontal="center"/>
    </xf>
    <xf numFmtId="1" fontId="4" fillId="0" borderId="7" xfId="8" applyNumberFormat="1" applyFont="1" applyBorder="1" applyAlignment="1">
      <alignment horizontal="center"/>
    </xf>
    <xf numFmtId="0" fontId="4" fillId="15" borderId="38" xfId="8" applyFont="1" applyFill="1" applyBorder="1" applyAlignment="1"/>
    <xf numFmtId="0" fontId="4" fillId="6" borderId="32" xfId="8" applyFont="1" applyFill="1" applyBorder="1" applyAlignment="1">
      <alignment horizontal="left"/>
    </xf>
    <xf numFmtId="1" fontId="4" fillId="17" borderId="47" xfId="8" applyNumberFormat="1" applyFont="1" applyFill="1" applyBorder="1"/>
    <xf numFmtId="0" fontId="4" fillId="0" borderId="49" xfId="8" applyFont="1" applyFill="1" applyBorder="1"/>
    <xf numFmtId="0" fontId="4" fillId="17" borderId="15" xfId="8" applyFont="1" applyFill="1" applyBorder="1" applyAlignment="1"/>
    <xf numFmtId="1" fontId="4" fillId="17" borderId="30" xfId="8" applyNumberFormat="1" applyFont="1" applyFill="1" applyBorder="1"/>
    <xf numFmtId="0" fontId="4" fillId="17" borderId="14" xfId="8" applyFont="1" applyFill="1" applyBorder="1" applyAlignment="1"/>
    <xf numFmtId="1" fontId="4" fillId="17" borderId="34" xfId="8" applyNumberFormat="1" applyFont="1" applyFill="1" applyBorder="1"/>
    <xf numFmtId="0" fontId="4" fillId="0" borderId="36" xfId="8" applyFont="1" applyBorder="1" applyAlignment="1">
      <alignment horizontal="right"/>
    </xf>
    <xf numFmtId="0" fontId="4" fillId="0" borderId="36" xfId="8" applyFont="1" applyBorder="1"/>
    <xf numFmtId="0" fontId="4" fillId="0" borderId="0" xfId="8" applyFont="1" applyFill="1" applyBorder="1" applyAlignment="1"/>
    <xf numFmtId="1" fontId="4" fillId="17" borderId="25" xfId="8" applyNumberFormat="1" applyFont="1" applyFill="1" applyBorder="1"/>
    <xf numFmtId="0" fontId="4" fillId="6" borderId="27" xfId="8" applyFont="1" applyFill="1" applyBorder="1" applyAlignment="1">
      <alignment horizontal="right"/>
    </xf>
    <xf numFmtId="0" fontId="4" fillId="6" borderId="27" xfId="8" applyFont="1" applyFill="1" applyBorder="1"/>
    <xf numFmtId="1" fontId="4" fillId="17" borderId="40" xfId="8" applyNumberFormat="1" applyFont="1" applyFill="1" applyBorder="1"/>
    <xf numFmtId="0" fontId="4" fillId="17" borderId="38" xfId="8" applyFont="1" applyFill="1" applyBorder="1" applyAlignment="1"/>
    <xf numFmtId="1" fontId="4" fillId="6" borderId="11" xfId="8" applyNumberFormat="1" applyFont="1" applyFill="1" applyBorder="1" applyAlignment="1">
      <alignment horizontal="center"/>
    </xf>
    <xf numFmtId="1" fontId="4" fillId="18" borderId="25" xfId="8" applyNumberFormat="1" applyFont="1" applyFill="1" applyBorder="1"/>
    <xf numFmtId="0" fontId="4" fillId="18" borderId="15" xfId="8" applyFont="1" applyFill="1" applyBorder="1" applyAlignment="1"/>
    <xf numFmtId="1" fontId="4" fillId="6" borderId="9" xfId="8" applyNumberFormat="1" applyFont="1" applyFill="1" applyBorder="1" applyAlignment="1">
      <alignment horizontal="center"/>
    </xf>
    <xf numFmtId="1" fontId="4" fillId="18" borderId="30" xfId="8" applyNumberFormat="1" applyFont="1" applyFill="1" applyBorder="1"/>
    <xf numFmtId="0" fontId="4" fillId="18" borderId="14" xfId="8" applyFont="1" applyFill="1" applyBorder="1" applyAlignment="1"/>
    <xf numFmtId="1" fontId="4" fillId="6" borderId="6" xfId="8" applyNumberFormat="1" applyFont="1" applyFill="1" applyBorder="1" applyAlignment="1">
      <alignment horizontal="center"/>
    </xf>
    <xf numFmtId="1" fontId="4" fillId="18" borderId="40" xfId="8" applyNumberFormat="1" applyFont="1" applyFill="1" applyBorder="1"/>
    <xf numFmtId="0" fontId="4" fillId="18" borderId="38" xfId="8" applyFont="1" applyFill="1" applyBorder="1" applyAlignment="1"/>
    <xf numFmtId="0" fontId="4" fillId="0" borderId="0" xfId="8" applyFont="1" applyBorder="1" applyAlignment="1"/>
    <xf numFmtId="1" fontId="4" fillId="0" borderId="11" xfId="8" applyNumberFormat="1" applyFont="1" applyBorder="1" applyAlignment="1">
      <alignment horizontal="center"/>
    </xf>
    <xf numFmtId="1" fontId="4" fillId="0" borderId="9" xfId="8" applyNumberFormat="1" applyFont="1" applyBorder="1" applyAlignment="1">
      <alignment horizontal="center"/>
    </xf>
    <xf numFmtId="1" fontId="4" fillId="0" borderId="6" xfId="8" applyNumberFormat="1" applyFont="1" applyBorder="1" applyAlignment="1">
      <alignment horizontal="center"/>
    </xf>
    <xf numFmtId="0" fontId="4" fillId="0" borderId="0" xfId="8" applyFont="1" applyAlignment="1">
      <alignment wrapText="1"/>
    </xf>
    <xf numFmtId="0" fontId="16" fillId="0" borderId="50" xfId="8" applyFont="1" applyFill="1" applyBorder="1" applyAlignment="1">
      <alignment horizontal="center"/>
    </xf>
    <xf numFmtId="0" fontId="16" fillId="0" borderId="51" xfId="8" applyFont="1" applyBorder="1" applyAlignment="1">
      <alignment horizontal="center"/>
    </xf>
    <xf numFmtId="0" fontId="16" fillId="0" borderId="50" xfId="8" applyFont="1" applyBorder="1" applyAlignment="1">
      <alignment horizontal="center"/>
    </xf>
    <xf numFmtId="0" fontId="16" fillId="0" borderId="52" xfId="8" applyFont="1" applyBorder="1" applyAlignment="1">
      <alignment horizontal="center"/>
    </xf>
    <xf numFmtId="0" fontId="16" fillId="0" borderId="53" xfId="8" applyFont="1" applyBorder="1" applyAlignment="1">
      <alignment horizontal="center"/>
    </xf>
    <xf numFmtId="0" fontId="16" fillId="0" borderId="22" xfId="8" applyFont="1" applyBorder="1" applyAlignment="1">
      <alignment horizontal="center"/>
    </xf>
    <xf numFmtId="16" fontId="4" fillId="0" borderId="0" xfId="8" applyNumberFormat="1" applyFont="1"/>
    <xf numFmtId="0" fontId="16" fillId="0" borderId="0" xfId="8" applyFont="1" applyAlignment="1">
      <alignment wrapText="1"/>
    </xf>
    <xf numFmtId="14" fontId="4" fillId="0" borderId="0" xfId="8" applyNumberFormat="1" applyFont="1"/>
    <xf numFmtId="0" fontId="4" fillId="0" borderId="0" xfId="8" applyFont="1" applyAlignment="1">
      <alignment horizontal="left"/>
    </xf>
    <xf numFmtId="0" fontId="4" fillId="0" borderId="0" xfId="8" applyFont="1" applyAlignment="1">
      <alignment horizontal="centerContinuous"/>
    </xf>
    <xf numFmtId="0" fontId="4" fillId="0" borderId="0" xfId="8" applyFont="1" applyAlignment="1"/>
    <xf numFmtId="0" fontId="4" fillId="0" borderId="0" xfId="8" applyFont="1" applyAlignment="1">
      <alignment horizontal="centerContinuous" vertical="center"/>
    </xf>
    <xf numFmtId="0" fontId="4" fillId="0" borderId="38" xfId="8" applyFont="1" applyBorder="1" applyAlignment="1">
      <alignment horizontal="center" vertical="center" textRotation="90"/>
    </xf>
    <xf numFmtId="0" fontId="4" fillId="0" borderId="14" xfId="8" applyFont="1" applyBorder="1" applyAlignment="1">
      <alignment horizontal="center" vertical="center" textRotation="90"/>
    </xf>
    <xf numFmtId="0" fontId="4" fillId="0" borderId="15" xfId="8" applyFont="1" applyBorder="1" applyAlignment="1">
      <alignment horizontal="center" vertical="center" textRotation="90"/>
    </xf>
    <xf numFmtId="0" fontId="14" fillId="0" borderId="0" xfId="8"/>
    <xf numFmtId="0" fontId="19" fillId="0" borderId="18" xfId="8" applyFont="1" applyBorder="1" applyAlignment="1">
      <alignment horizontal="center" vertical="center" textRotation="90"/>
    </xf>
    <xf numFmtId="0" fontId="19" fillId="0" borderId="17" xfId="8" applyFont="1" applyBorder="1" applyAlignment="1">
      <alignment horizontal="center" vertical="center" textRotation="90"/>
    </xf>
    <xf numFmtId="0" fontId="19" fillId="0" borderId="16" xfId="8" applyFont="1" applyBorder="1" applyAlignment="1">
      <alignment horizontal="center" vertical="center" textRotation="90"/>
    </xf>
    <xf numFmtId="0" fontId="19" fillId="0" borderId="14" xfId="8" applyFont="1" applyBorder="1" applyAlignment="1">
      <alignment horizontal="center" vertical="center" textRotation="90"/>
    </xf>
    <xf numFmtId="0" fontId="19" fillId="0" borderId="15" xfId="8" applyFont="1" applyBorder="1" applyAlignment="1">
      <alignment horizontal="center" vertical="center" textRotation="90"/>
    </xf>
  </cellXfs>
  <cellStyles count="9">
    <cellStyle name="Calculation" xfId="2" builtinId="22"/>
    <cellStyle name="Currency" xfId="1" builtinId="4"/>
    <cellStyle name="Explanatory Text" xfId="3" builtinId="53"/>
    <cellStyle name="Neutral" xfId="7" builtinId="28"/>
    <cellStyle name="Normal" xfId="0" builtinId="0"/>
    <cellStyle name="Normal 2" xfId="4" xr:uid="{00000000-0005-0000-0000-000005000000}"/>
    <cellStyle name="Normal 2 2" xfId="5" xr:uid="{00000000-0005-0000-0000-000006000000}"/>
    <cellStyle name="Normal 3" xfId="8" xr:uid="{633CFF38-A202-4455-8887-21E4014E4068}"/>
    <cellStyle name="Percent" xfId="6" builtinId="5"/>
  </cellStyles>
  <dxfs count="2"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MySqlDefault" pivot="0" table="0" count="0" xr9:uid="{34567258-BE2D-4232-8236-A756DD73339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99060</xdr:rowOff>
        </xdr:from>
        <xdr:to>
          <xdr:col>1</xdr:col>
          <xdr:colOff>464820</xdr:colOff>
          <xdr:row>2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maximize truck utilization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sen-file2.ie.tamu.edu\graduate$\yucheg\Desktop\ISEN%20615\Project\VTI\Board%20Inventory%20Count%20Sheet%20VTI%20Of%20Tex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oyu/Desktop/&#35838;&#31243;/2018%20Fall/ISEN%20615/Project/Data%20Given/VTI/Board%20Inventory%20Count%20Sheet%20VTI%20Of%20Texa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ny/Desktop/Class/Fall%202018/ISEN615/Project/Board%20Inventory%20Count%20Sheet%20VTI%20Of%20Texas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 Inventory"/>
      <sheetName val="Purchase"/>
      <sheetName val="Visual Inventory"/>
      <sheetName val="1"/>
      <sheetName val="2"/>
      <sheetName val="Sheet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  <sheetName val="51"/>
      <sheetName val="52"/>
      <sheetName val="Sheet1"/>
      <sheetName val="Sheet3"/>
      <sheetName val="Sheet4"/>
      <sheetName val="Weekly Use"/>
      <sheetName val="Constants"/>
      <sheetName val="Data lo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 Inventory"/>
      <sheetName val="Purchase"/>
      <sheetName val="Visual Inventory"/>
      <sheetName val="1"/>
      <sheetName val="2"/>
      <sheetName val="Sheet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  <sheetName val="51"/>
      <sheetName val="52"/>
      <sheetName val="Sheet1"/>
      <sheetName val="Sheet3"/>
      <sheetName val="Sheet4"/>
      <sheetName val="Weekly Use"/>
      <sheetName val="Constants"/>
      <sheetName val="Data lo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>
        <row r="17">
          <cell r="B17">
            <v>1834.6666666666667</v>
          </cell>
          <cell r="C17">
            <v>2111</v>
          </cell>
          <cell r="D17">
            <v>1652</v>
          </cell>
          <cell r="F17">
            <v>61.75</v>
          </cell>
          <cell r="G17">
            <v>21.35</v>
          </cell>
          <cell r="H17">
            <v>22</v>
          </cell>
          <cell r="J17">
            <v>25.8</v>
          </cell>
          <cell r="K17">
            <v>13.4</v>
          </cell>
          <cell r="L17">
            <v>18.899999999999999</v>
          </cell>
          <cell r="M17">
            <v>11</v>
          </cell>
          <cell r="N17">
            <v>11</v>
          </cell>
          <cell r="O17">
            <v>3.5</v>
          </cell>
          <cell r="Q17">
            <v>37.1</v>
          </cell>
          <cell r="R17">
            <v>9.6</v>
          </cell>
          <cell r="S17">
            <v>27</v>
          </cell>
          <cell r="T17">
            <v>1.1000000000000001</v>
          </cell>
          <cell r="U17">
            <v>1.8</v>
          </cell>
          <cell r="V17">
            <v>0.2</v>
          </cell>
          <cell r="X17">
            <v>14</v>
          </cell>
          <cell r="Y17">
            <v>4</v>
          </cell>
          <cell r="Z17">
            <v>10</v>
          </cell>
          <cell r="AA17">
            <v>0.4</v>
          </cell>
          <cell r="AB17">
            <v>0.4</v>
          </cell>
          <cell r="AC17">
            <v>2.8</v>
          </cell>
          <cell r="AD17">
            <v>56</v>
          </cell>
          <cell r="AE17">
            <v>57.5</v>
          </cell>
          <cell r="AF17">
            <v>43</v>
          </cell>
        </row>
        <row r="18">
          <cell r="B18">
            <v>2074</v>
          </cell>
          <cell r="C18">
            <v>2662</v>
          </cell>
          <cell r="D18">
            <v>1972</v>
          </cell>
          <cell r="F18">
            <v>95</v>
          </cell>
          <cell r="G18">
            <v>61</v>
          </cell>
          <cell r="H18">
            <v>46</v>
          </cell>
          <cell r="J18">
            <v>45</v>
          </cell>
          <cell r="K18">
            <v>21</v>
          </cell>
          <cell r="L18">
            <v>25</v>
          </cell>
          <cell r="M18">
            <v>11</v>
          </cell>
          <cell r="N18">
            <v>34</v>
          </cell>
          <cell r="O18">
            <v>13</v>
          </cell>
          <cell r="Q18">
            <v>14</v>
          </cell>
          <cell r="R18">
            <v>15</v>
          </cell>
          <cell r="S18">
            <v>17</v>
          </cell>
          <cell r="T18">
            <v>3</v>
          </cell>
          <cell r="U18">
            <v>1</v>
          </cell>
          <cell r="V18">
            <v>2</v>
          </cell>
          <cell r="X18">
            <v>12</v>
          </cell>
          <cell r="Y18">
            <v>17</v>
          </cell>
          <cell r="Z18">
            <v>7</v>
          </cell>
          <cell r="AA18">
            <v>18</v>
          </cell>
          <cell r="AB18">
            <v>4</v>
          </cell>
          <cell r="AC18">
            <v>2</v>
          </cell>
          <cell r="AD18">
            <v>80</v>
          </cell>
          <cell r="AE18">
            <v>88</v>
          </cell>
          <cell r="AF18">
            <v>59</v>
          </cell>
        </row>
        <row r="19">
          <cell r="B19">
            <v>385.46768130847624</v>
          </cell>
          <cell r="C19">
            <v>328</v>
          </cell>
          <cell r="D19">
            <v>255</v>
          </cell>
          <cell r="F19">
            <v>10</v>
          </cell>
          <cell r="G19">
            <v>10</v>
          </cell>
          <cell r="H19">
            <v>10</v>
          </cell>
          <cell r="J19">
            <v>5</v>
          </cell>
          <cell r="K19">
            <v>5</v>
          </cell>
          <cell r="L19">
            <v>5</v>
          </cell>
          <cell r="M19">
            <v>5</v>
          </cell>
          <cell r="N19">
            <v>17</v>
          </cell>
          <cell r="O19">
            <v>5</v>
          </cell>
          <cell r="Q19">
            <v>3</v>
          </cell>
          <cell r="R19">
            <v>10</v>
          </cell>
          <cell r="S19">
            <v>10</v>
          </cell>
          <cell r="T19">
            <v>5</v>
          </cell>
          <cell r="U19">
            <v>5</v>
          </cell>
          <cell r="V19">
            <v>5</v>
          </cell>
          <cell r="X19">
            <v>5</v>
          </cell>
          <cell r="Y19">
            <v>3</v>
          </cell>
          <cell r="Z19">
            <v>3</v>
          </cell>
          <cell r="AA19">
            <v>5</v>
          </cell>
          <cell r="AB19">
            <v>5</v>
          </cell>
          <cell r="AC19">
            <v>3</v>
          </cell>
          <cell r="AD19">
            <v>13</v>
          </cell>
          <cell r="AE19">
            <v>14</v>
          </cell>
          <cell r="AF19">
            <v>10</v>
          </cell>
        </row>
      </sheetData>
      <sheetData sheetId="60"/>
      <sheetData sheetId="6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 Inventory"/>
      <sheetName val="Purchase"/>
      <sheetName val="Visual Inventory"/>
      <sheetName val="1"/>
      <sheetName val="2"/>
      <sheetName val="Sheet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  <sheetName val="51"/>
      <sheetName val="52"/>
      <sheetName val="Sheet1"/>
      <sheetName val="Sheet3"/>
      <sheetName val="Sheet4"/>
      <sheetName val="Weekly Use"/>
      <sheetName val="Constants"/>
      <sheetName val="Data log"/>
      <sheetName val="Data Log - Summary"/>
    </sheetNames>
    <sheetDataSet>
      <sheetData sheetId="0"/>
      <sheetData sheetId="1"/>
      <sheetData sheetId="2">
        <row r="59">
          <cell r="B59">
            <v>40202</v>
          </cell>
          <cell r="C59">
            <v>40201</v>
          </cell>
          <cell r="D59">
            <v>40200</v>
          </cell>
          <cell r="F59">
            <v>40211</v>
          </cell>
          <cell r="G59">
            <v>40210</v>
          </cell>
          <cell r="H59">
            <v>40209</v>
          </cell>
          <cell r="J59">
            <v>40109</v>
          </cell>
          <cell r="K59">
            <v>40108</v>
          </cell>
          <cell r="L59">
            <v>40107</v>
          </cell>
          <cell r="M59">
            <v>40102</v>
          </cell>
          <cell r="N59">
            <v>40304</v>
          </cell>
          <cell r="O59">
            <v>40305</v>
          </cell>
          <cell r="Q59">
            <v>40008</v>
          </cell>
          <cell r="R59">
            <v>40009</v>
          </cell>
          <cell r="S59">
            <v>40010</v>
          </cell>
          <cell r="T59">
            <v>40011</v>
          </cell>
          <cell r="U59">
            <v>40012</v>
          </cell>
          <cell r="V59">
            <v>40013</v>
          </cell>
          <cell r="X59">
            <v>41202</v>
          </cell>
          <cell r="Y59">
            <v>41201</v>
          </cell>
          <cell r="Z59">
            <v>41200</v>
          </cell>
          <cell r="AA59">
            <v>41211</v>
          </cell>
          <cell r="AB59">
            <v>41210</v>
          </cell>
          <cell r="AC59">
            <v>41209</v>
          </cell>
          <cell r="AD59">
            <v>49004</v>
          </cell>
          <cell r="AE59">
            <v>49005</v>
          </cell>
          <cell r="AF59">
            <v>49006</v>
          </cell>
        </row>
        <row r="60">
          <cell r="B60" t="str">
            <v>Georgia-Pacific</v>
          </cell>
          <cell r="I60" t="str">
            <v>Arauco</v>
          </cell>
          <cell r="P60" t="str">
            <v>Pacific Wood</v>
          </cell>
          <cell r="W60" t="str">
            <v>Roseburg</v>
          </cell>
        </row>
        <row r="61">
          <cell r="B61">
            <v>6052</v>
          </cell>
          <cell r="C61">
            <v>9010</v>
          </cell>
          <cell r="D61">
            <v>7344</v>
          </cell>
          <cell r="E61" t="str">
            <v>Total</v>
          </cell>
          <cell r="F61">
            <v>608</v>
          </cell>
          <cell r="G61">
            <v>430</v>
          </cell>
          <cell r="H61">
            <v>414</v>
          </cell>
          <cell r="I61" t="str">
            <v>Total</v>
          </cell>
          <cell r="J61">
            <v>422</v>
          </cell>
          <cell r="K61">
            <v>161</v>
          </cell>
          <cell r="L61">
            <v>167</v>
          </cell>
          <cell r="M61">
            <v>347</v>
          </cell>
          <cell r="N61">
            <v>193</v>
          </cell>
          <cell r="O61">
            <v>247</v>
          </cell>
          <cell r="P61" t="str">
            <v>Total</v>
          </cell>
          <cell r="Q61">
            <v>1133</v>
          </cell>
          <cell r="R61">
            <v>490</v>
          </cell>
          <cell r="S61">
            <v>933</v>
          </cell>
          <cell r="T61">
            <v>221</v>
          </cell>
          <cell r="U61">
            <v>221</v>
          </cell>
          <cell r="V61">
            <v>228</v>
          </cell>
          <cell r="W61" t="str">
            <v>Total</v>
          </cell>
          <cell r="X61">
            <v>165</v>
          </cell>
          <cell r="Y61">
            <v>217</v>
          </cell>
          <cell r="Z61">
            <v>156</v>
          </cell>
          <cell r="AA61">
            <v>142</v>
          </cell>
          <cell r="AB61">
            <v>143</v>
          </cell>
          <cell r="AC61">
            <v>151</v>
          </cell>
          <cell r="AD61">
            <v>435</v>
          </cell>
          <cell r="AE61">
            <v>439</v>
          </cell>
          <cell r="AF61">
            <v>315</v>
          </cell>
        </row>
        <row r="62">
          <cell r="B62">
            <v>2482</v>
          </cell>
          <cell r="C62">
            <v>4386</v>
          </cell>
          <cell r="D62">
            <v>4012</v>
          </cell>
          <cell r="E62" t="str">
            <v>Total</v>
          </cell>
          <cell r="F62">
            <v>64</v>
          </cell>
          <cell r="G62">
            <v>56</v>
          </cell>
          <cell r="H62">
            <v>142</v>
          </cell>
          <cell r="I62" t="str">
            <v>Total</v>
          </cell>
          <cell r="J62">
            <v>422</v>
          </cell>
          <cell r="K62">
            <v>161</v>
          </cell>
          <cell r="L62">
            <v>167</v>
          </cell>
          <cell r="M62">
            <v>347</v>
          </cell>
          <cell r="N62">
            <v>193</v>
          </cell>
          <cell r="O62">
            <v>247</v>
          </cell>
          <cell r="P62" t="str">
            <v>Total</v>
          </cell>
          <cell r="Q62">
            <v>1133</v>
          </cell>
          <cell r="R62">
            <v>270</v>
          </cell>
          <cell r="S62">
            <v>473</v>
          </cell>
          <cell r="T62">
            <v>221</v>
          </cell>
          <cell r="U62">
            <v>221</v>
          </cell>
          <cell r="V62">
            <v>228</v>
          </cell>
          <cell r="W62" t="str">
            <v>Total</v>
          </cell>
          <cell r="X62">
            <v>165</v>
          </cell>
          <cell r="Y62">
            <v>217</v>
          </cell>
          <cell r="Z62">
            <v>156</v>
          </cell>
          <cell r="AA62">
            <v>142</v>
          </cell>
          <cell r="AB62">
            <v>143</v>
          </cell>
          <cell r="AC62">
            <v>151</v>
          </cell>
          <cell r="AD62">
            <v>210</v>
          </cell>
          <cell r="AE62">
            <v>214</v>
          </cell>
          <cell r="AF62">
            <v>180</v>
          </cell>
        </row>
        <row r="63">
          <cell r="B63">
            <v>1292</v>
          </cell>
          <cell r="C63">
            <v>-374</v>
          </cell>
          <cell r="D63">
            <v>816</v>
          </cell>
          <cell r="F63">
            <v>14</v>
          </cell>
          <cell r="G63">
            <v>-30</v>
          </cell>
          <cell r="H63">
            <v>-14</v>
          </cell>
          <cell r="I63" t="str">
            <v xml:space="preserve">   </v>
          </cell>
          <cell r="J63">
            <v>-26</v>
          </cell>
          <cell r="K63">
            <v>37</v>
          </cell>
          <cell r="L63">
            <v>130</v>
          </cell>
          <cell r="M63">
            <v>49</v>
          </cell>
          <cell r="N63">
            <v>5</v>
          </cell>
          <cell r="O63">
            <v>-49</v>
          </cell>
          <cell r="Q63">
            <v>-283</v>
          </cell>
          <cell r="R63">
            <v>-79</v>
          </cell>
          <cell r="S63">
            <v>-208</v>
          </cell>
          <cell r="T63">
            <v>-21</v>
          </cell>
          <cell r="U63">
            <v>-21</v>
          </cell>
          <cell r="V63">
            <v>-28</v>
          </cell>
          <cell r="X63">
            <v>3</v>
          </cell>
          <cell r="Y63">
            <v>-63</v>
          </cell>
          <cell r="Z63">
            <v>-4</v>
          </cell>
          <cell r="AA63">
            <v>3</v>
          </cell>
          <cell r="AB63">
            <v>-82</v>
          </cell>
          <cell r="AC63">
            <v>-95</v>
          </cell>
          <cell r="AD63">
            <v>5</v>
          </cell>
          <cell r="AE63">
            <v>1</v>
          </cell>
          <cell r="AF63">
            <v>21</v>
          </cell>
        </row>
        <row r="64">
          <cell r="B64">
            <v>1</v>
          </cell>
          <cell r="C64">
            <v>0</v>
          </cell>
          <cell r="D64">
            <v>1</v>
          </cell>
          <cell r="E64" t="str">
            <v>subtotal</v>
          </cell>
          <cell r="F64">
            <v>0</v>
          </cell>
          <cell r="G64">
            <v>0</v>
          </cell>
          <cell r="H64">
            <v>0</v>
          </cell>
          <cell r="I64" t="str">
            <v>subtotal</v>
          </cell>
          <cell r="J64">
            <v>0</v>
          </cell>
          <cell r="K64">
            <v>33</v>
          </cell>
          <cell r="L64">
            <v>99</v>
          </cell>
          <cell r="M64">
            <v>33</v>
          </cell>
          <cell r="N64">
            <v>0</v>
          </cell>
          <cell r="O64">
            <v>0</v>
          </cell>
          <cell r="P64" t="str">
            <v>subtotal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 t="str">
            <v>subtotal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</row>
        <row r="65">
          <cell r="B65">
            <v>34</v>
          </cell>
          <cell r="C65">
            <v>34</v>
          </cell>
          <cell r="D65">
            <v>34</v>
          </cell>
          <cell r="F65">
            <v>34</v>
          </cell>
          <cell r="G65">
            <v>34</v>
          </cell>
          <cell r="H65">
            <v>34</v>
          </cell>
          <cell r="J65">
            <v>33</v>
          </cell>
          <cell r="K65">
            <v>33</v>
          </cell>
          <cell r="L65">
            <v>33</v>
          </cell>
          <cell r="M65">
            <v>33</v>
          </cell>
          <cell r="N65">
            <v>33</v>
          </cell>
          <cell r="O65">
            <v>33</v>
          </cell>
          <cell r="Q65">
            <v>40</v>
          </cell>
          <cell r="R65">
            <v>40</v>
          </cell>
          <cell r="S65">
            <v>40</v>
          </cell>
          <cell r="T65">
            <v>40</v>
          </cell>
          <cell r="U65">
            <v>40</v>
          </cell>
          <cell r="V65">
            <v>40</v>
          </cell>
          <cell r="X65">
            <v>40</v>
          </cell>
          <cell r="Y65">
            <v>40</v>
          </cell>
          <cell r="Z65">
            <v>40</v>
          </cell>
          <cell r="AA65">
            <v>40</v>
          </cell>
          <cell r="AB65">
            <v>40</v>
          </cell>
          <cell r="AC65">
            <v>40</v>
          </cell>
          <cell r="AD65">
            <v>45</v>
          </cell>
          <cell r="AE65">
            <v>45</v>
          </cell>
          <cell r="AF65">
            <v>45</v>
          </cell>
        </row>
        <row r="66">
          <cell r="B66">
            <v>714</v>
          </cell>
          <cell r="C66">
            <v>578</v>
          </cell>
          <cell r="D66">
            <v>476</v>
          </cell>
          <cell r="F66">
            <v>480</v>
          </cell>
          <cell r="G66">
            <v>380</v>
          </cell>
          <cell r="H66">
            <v>320</v>
          </cell>
          <cell r="J66">
            <v>781</v>
          </cell>
          <cell r="K66">
            <v>614</v>
          </cell>
          <cell r="L66">
            <v>530</v>
          </cell>
          <cell r="M66">
            <v>495</v>
          </cell>
          <cell r="N66">
            <v>396</v>
          </cell>
          <cell r="O66">
            <v>328</v>
          </cell>
          <cell r="Q66">
            <v>978</v>
          </cell>
          <cell r="R66">
            <v>789</v>
          </cell>
          <cell r="S66">
            <v>661</v>
          </cell>
          <cell r="T66">
            <v>618</v>
          </cell>
          <cell r="U66">
            <v>494</v>
          </cell>
          <cell r="V66">
            <v>412</v>
          </cell>
          <cell r="X66">
            <v>720</v>
          </cell>
          <cell r="Y66">
            <v>560</v>
          </cell>
          <cell r="Z66">
            <v>480</v>
          </cell>
          <cell r="AA66">
            <v>480</v>
          </cell>
          <cell r="AB66">
            <v>380</v>
          </cell>
          <cell r="AC66">
            <v>320</v>
          </cell>
          <cell r="AD66">
            <v>720</v>
          </cell>
          <cell r="AE66">
            <v>560</v>
          </cell>
          <cell r="AF66">
            <v>480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0.30720504783561753</v>
          </cell>
          <cell r="J67">
            <v>0</v>
          </cell>
          <cell r="K67">
            <v>5.3745928338762218E-2</v>
          </cell>
          <cell r="L67">
            <v>0.18679245283018867</v>
          </cell>
          <cell r="M67">
            <v>6.6666666666666666E-2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</row>
        <row r="68">
          <cell r="B68">
            <v>4</v>
          </cell>
          <cell r="C68">
            <v>3</v>
          </cell>
          <cell r="D68">
            <v>4</v>
          </cell>
          <cell r="E68">
            <v>0.97917398383501997</v>
          </cell>
          <cell r="F68">
            <v>136</v>
          </cell>
          <cell r="G68">
            <v>136</v>
          </cell>
          <cell r="H68">
            <v>102</v>
          </cell>
          <cell r="I68">
            <v>0</v>
          </cell>
          <cell r="P68">
            <v>0</v>
          </cell>
          <cell r="W68">
            <v>0.9955357142857143</v>
          </cell>
          <cell r="AD68">
            <v>225</v>
          </cell>
          <cell r="AE68">
            <v>225</v>
          </cell>
          <cell r="AF68">
            <v>135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0"/>
  <sheetViews>
    <sheetView tabSelected="1" zoomScale="120" zoomScaleNormal="120" workbookViewId="0">
      <selection activeCell="B18" sqref="B18"/>
    </sheetView>
  </sheetViews>
  <sheetFormatPr defaultRowHeight="14.4"/>
  <cols>
    <col min="1" max="1" width="26.109375" bestFit="1" customWidth="1"/>
    <col min="2" max="28" width="14" customWidth="1"/>
  </cols>
  <sheetData>
    <row r="1" spans="1:28">
      <c r="C1" s="70" t="s">
        <v>102</v>
      </c>
      <c r="D1" s="70"/>
      <c r="E1" s="70" t="s">
        <v>71</v>
      </c>
      <c r="F1" s="70"/>
      <c r="G1" s="70" t="s">
        <v>45</v>
      </c>
      <c r="H1" s="70"/>
      <c r="I1" s="80" t="s">
        <v>69</v>
      </c>
      <c r="J1" s="70"/>
      <c r="K1" s="81" t="s">
        <v>0</v>
      </c>
    </row>
    <row r="2" spans="1:28">
      <c r="C2" s="82">
        <v>50</v>
      </c>
      <c r="D2" s="70"/>
      <c r="E2" s="79">
        <f>0.25</f>
        <v>0.25</v>
      </c>
      <c r="F2" s="70"/>
      <c r="G2" s="83">
        <v>150</v>
      </c>
      <c r="H2" s="70"/>
      <c r="I2" s="84">
        <v>43368</v>
      </c>
      <c r="J2" s="70"/>
      <c r="K2" s="79">
        <v>0.99</v>
      </c>
    </row>
    <row r="3" spans="1:28">
      <c r="C3" s="86"/>
      <c r="D3" s="87"/>
      <c r="E3" s="87"/>
      <c r="F3" s="87"/>
      <c r="G3" s="88"/>
      <c r="H3" s="87"/>
      <c r="I3" s="89"/>
      <c r="J3" s="87"/>
      <c r="K3" s="87"/>
    </row>
    <row r="4" spans="1:28" ht="15" thickBot="1">
      <c r="C4" s="86"/>
      <c r="D4" s="87"/>
      <c r="E4" s="87"/>
      <c r="F4" s="87"/>
      <c r="G4" s="88"/>
      <c r="H4" s="87"/>
      <c r="I4" s="89"/>
      <c r="J4" s="87"/>
      <c r="K4" s="87"/>
    </row>
    <row r="5" spans="1:28" ht="15" thickBot="1">
      <c r="A5" s="5" t="s">
        <v>108</v>
      </c>
      <c r="B5" s="3">
        <v>40200</v>
      </c>
      <c r="C5" s="3">
        <v>40201</v>
      </c>
      <c r="D5" s="3">
        <v>40202</v>
      </c>
      <c r="E5" s="3">
        <v>40209</v>
      </c>
      <c r="F5" s="3">
        <v>40210</v>
      </c>
      <c r="G5" s="3">
        <v>40211</v>
      </c>
      <c r="H5" s="3">
        <v>41200</v>
      </c>
      <c r="I5" s="3">
        <v>41201</v>
      </c>
      <c r="J5" s="3">
        <v>41202</v>
      </c>
      <c r="K5" s="3">
        <v>41209</v>
      </c>
      <c r="L5" s="3">
        <v>41210</v>
      </c>
      <c r="M5" s="3">
        <v>41211</v>
      </c>
      <c r="N5" s="3">
        <v>49006</v>
      </c>
      <c r="O5" s="3">
        <v>49005</v>
      </c>
      <c r="P5" s="3">
        <v>49004</v>
      </c>
      <c r="Q5" s="3">
        <v>40109</v>
      </c>
      <c r="R5" s="3">
        <v>40108</v>
      </c>
      <c r="S5" s="3">
        <v>40107</v>
      </c>
      <c r="T5" s="3">
        <v>40102</v>
      </c>
      <c r="U5" s="3">
        <v>40304</v>
      </c>
      <c r="V5" s="3">
        <v>40305</v>
      </c>
      <c r="W5" s="3">
        <v>40008</v>
      </c>
      <c r="X5" s="3">
        <v>40009</v>
      </c>
      <c r="Y5" s="3">
        <v>40010</v>
      </c>
      <c r="Z5" s="3">
        <v>40011</v>
      </c>
      <c r="AA5" s="3">
        <v>40012</v>
      </c>
      <c r="AB5" s="4">
        <v>40013</v>
      </c>
    </row>
    <row r="6" spans="1:28" ht="15" thickBot="1">
      <c r="A6" s="5" t="s">
        <v>109</v>
      </c>
      <c r="B6" s="3" t="s">
        <v>3</v>
      </c>
      <c r="C6" s="3" t="s">
        <v>2</v>
      </c>
      <c r="D6" s="3" t="s">
        <v>1</v>
      </c>
      <c r="E6" s="3" t="s">
        <v>6</v>
      </c>
      <c r="F6" s="3" t="s">
        <v>5</v>
      </c>
      <c r="G6" s="3" t="s">
        <v>4</v>
      </c>
      <c r="H6" s="3" t="s">
        <v>15</v>
      </c>
      <c r="I6" s="3" t="s">
        <v>14</v>
      </c>
      <c r="J6" s="3" t="s">
        <v>13</v>
      </c>
      <c r="K6" s="3" t="s">
        <v>12</v>
      </c>
      <c r="L6" s="3" t="s">
        <v>11</v>
      </c>
      <c r="M6" s="3" t="s">
        <v>10</v>
      </c>
      <c r="N6" s="3" t="s">
        <v>3</v>
      </c>
      <c r="O6" s="3" t="s">
        <v>2</v>
      </c>
      <c r="P6" s="3" t="s">
        <v>1</v>
      </c>
      <c r="Q6" s="3" t="s">
        <v>7</v>
      </c>
      <c r="R6" s="3" t="s">
        <v>8</v>
      </c>
      <c r="S6" s="3" t="s">
        <v>9</v>
      </c>
      <c r="T6" s="3" t="s">
        <v>10</v>
      </c>
      <c r="U6" s="3" t="s">
        <v>11</v>
      </c>
      <c r="V6" s="3" t="s">
        <v>12</v>
      </c>
      <c r="W6" s="3" t="s">
        <v>7</v>
      </c>
      <c r="X6" s="3" t="s">
        <v>8</v>
      </c>
      <c r="Y6" s="3" t="s">
        <v>9</v>
      </c>
      <c r="Z6" s="3" t="s">
        <v>4</v>
      </c>
      <c r="AA6" s="3" t="s">
        <v>5</v>
      </c>
      <c r="AB6" s="4" t="s">
        <v>6</v>
      </c>
    </row>
    <row r="7" spans="1:28">
      <c r="A7" s="5" t="s">
        <v>110</v>
      </c>
      <c r="B7" s="3" t="s">
        <v>18</v>
      </c>
      <c r="C7" s="3" t="s">
        <v>17</v>
      </c>
      <c r="D7" s="3" t="s">
        <v>16</v>
      </c>
      <c r="E7" s="3" t="s">
        <v>21</v>
      </c>
      <c r="F7" s="3" t="s">
        <v>20</v>
      </c>
      <c r="G7" s="3" t="s">
        <v>19</v>
      </c>
      <c r="H7" s="3" t="s">
        <v>36</v>
      </c>
      <c r="I7" s="3" t="s">
        <v>35</v>
      </c>
      <c r="J7" s="3" t="s">
        <v>34</v>
      </c>
      <c r="K7" s="3" t="s">
        <v>39</v>
      </c>
      <c r="L7" s="3" t="s">
        <v>38</v>
      </c>
      <c r="M7" s="3" t="s">
        <v>37</v>
      </c>
      <c r="N7" s="3" t="s">
        <v>42</v>
      </c>
      <c r="O7" s="3" t="s">
        <v>41</v>
      </c>
      <c r="P7" s="3" t="s">
        <v>40</v>
      </c>
      <c r="Q7" s="3" t="s">
        <v>22</v>
      </c>
      <c r="R7" s="3" t="s">
        <v>23</v>
      </c>
      <c r="S7" s="3" t="s">
        <v>24</v>
      </c>
      <c r="T7" s="3" t="s">
        <v>25</v>
      </c>
      <c r="U7" s="3" t="s">
        <v>26</v>
      </c>
      <c r="V7" s="3" t="s">
        <v>27</v>
      </c>
      <c r="W7" s="3" t="s">
        <v>28</v>
      </c>
      <c r="X7" s="3" t="s">
        <v>29</v>
      </c>
      <c r="Y7" s="3" t="s">
        <v>30</v>
      </c>
      <c r="Z7" s="3" t="s">
        <v>31</v>
      </c>
      <c r="AA7" s="3" t="s">
        <v>32</v>
      </c>
      <c r="AB7" s="67" t="s">
        <v>33</v>
      </c>
    </row>
    <row r="8" spans="1:28">
      <c r="A8" s="5" t="s">
        <v>77</v>
      </c>
      <c r="B8" s="74">
        <f>HLOOKUP(B5,Constants!$C$1:$AG$11,9,FALSE)</f>
        <v>1652</v>
      </c>
      <c r="C8" s="74">
        <f>HLOOKUP(C5,Constants!$C$1:$AG$11,9,FALSE)</f>
        <v>2111</v>
      </c>
      <c r="D8" s="74">
        <f>HLOOKUP(D5,Constants!$C$1:$AG$11,9,FALSE)</f>
        <v>1834.6666666666667</v>
      </c>
      <c r="E8" s="74">
        <f>HLOOKUP(E5,Constants!$C$1:$AG$11,9,FALSE)</f>
        <v>22</v>
      </c>
      <c r="F8" s="74">
        <f>HLOOKUP(F5,Constants!$C$1:$AG$11,9,FALSE)</f>
        <v>21.35</v>
      </c>
      <c r="G8" s="74">
        <f>HLOOKUP(G5,Constants!$C$1:$AG$11,9,FALSE)</f>
        <v>61.75</v>
      </c>
      <c r="H8" s="74">
        <f>HLOOKUP(H5,Constants!$C$1:$AG$11,9,FALSE)</f>
        <v>10</v>
      </c>
      <c r="I8" s="74">
        <f>HLOOKUP(I5,Constants!$C$1:$AG$11,9,FALSE)</f>
        <v>4</v>
      </c>
      <c r="J8" s="74">
        <f>HLOOKUP(J5,Constants!$C$1:$AG$11,9,FALSE)</f>
        <v>14</v>
      </c>
      <c r="K8" s="74">
        <f>HLOOKUP(K5,Constants!$C$1:$AG$11,9,FALSE)</f>
        <v>2.8</v>
      </c>
      <c r="L8" s="74">
        <f>HLOOKUP(L5,Constants!$C$1:$AG$11,9,FALSE)</f>
        <v>0.4</v>
      </c>
      <c r="M8" s="74">
        <f>HLOOKUP(M5,Constants!$C$1:$AG$11,9,FALSE)</f>
        <v>0.4</v>
      </c>
      <c r="N8" s="74">
        <f>HLOOKUP(N5,Constants!$C$1:$AG$11,9,FALSE)</f>
        <v>43</v>
      </c>
      <c r="O8" s="74">
        <f>HLOOKUP(O5,Constants!$C$1:$AG$11,9,FALSE)</f>
        <v>57.5</v>
      </c>
      <c r="P8" s="74">
        <f>HLOOKUP(P5,Constants!$C$1:$AG$11,9,FALSE)</f>
        <v>56</v>
      </c>
      <c r="Q8" s="74">
        <f>HLOOKUP(Q5,Constants!$C$1:$AG$11,9,FALSE)</f>
        <v>25.8</v>
      </c>
      <c r="R8" s="74">
        <f>HLOOKUP(R5,Constants!$C$1:$AG$11,9,FALSE)</f>
        <v>13.4</v>
      </c>
      <c r="S8" s="74">
        <f>HLOOKUP(S5,Constants!$C$1:$AG$11,9,FALSE)</f>
        <v>18.899999999999999</v>
      </c>
      <c r="T8" s="74">
        <f>HLOOKUP(T5,Constants!$C$1:$AG$11,9,FALSE)</f>
        <v>11</v>
      </c>
      <c r="U8" s="74">
        <f>HLOOKUP(U5,Constants!$C$1:$AG$11,9,FALSE)</f>
        <v>11</v>
      </c>
      <c r="V8" s="74">
        <f>HLOOKUP(V5,Constants!$C$1:$AG$11,9,FALSE)</f>
        <v>3.5</v>
      </c>
      <c r="W8" s="74">
        <f>HLOOKUP(W5,Constants!$C$1:$AG$11,9,FALSE)</f>
        <v>37.1</v>
      </c>
      <c r="X8" s="74">
        <f>HLOOKUP(X5,Constants!$C$1:$AG$11,9,FALSE)</f>
        <v>9.6</v>
      </c>
      <c r="Y8" s="74">
        <f>HLOOKUP(Y5,Constants!$C$1:$AG$11,9,FALSE)</f>
        <v>27</v>
      </c>
      <c r="Z8" s="74">
        <f>HLOOKUP(Z5,Constants!$C$1:$AG$11,9,FALSE)</f>
        <v>1.1000000000000001</v>
      </c>
      <c r="AA8" s="74">
        <f>HLOOKUP(AA5,Constants!$C$1:$AG$11,9,FALSE)</f>
        <v>1.8</v>
      </c>
      <c r="AB8" s="74">
        <f>HLOOKUP(AB5,Constants!$C$1:$AG$11,9,FALSE)</f>
        <v>0.2</v>
      </c>
    </row>
    <row r="9" spans="1:28">
      <c r="A9" s="5" t="s">
        <v>46</v>
      </c>
      <c r="B9" s="75">
        <v>255</v>
      </c>
      <c r="C9" s="75">
        <v>328</v>
      </c>
      <c r="D9" s="75">
        <v>385.46768130847624</v>
      </c>
      <c r="E9" s="75">
        <v>10</v>
      </c>
      <c r="F9" s="75">
        <v>10</v>
      </c>
      <c r="G9" s="75">
        <v>10</v>
      </c>
      <c r="H9" s="75">
        <v>3</v>
      </c>
      <c r="I9" s="75">
        <v>3</v>
      </c>
      <c r="J9" s="75">
        <v>5</v>
      </c>
      <c r="K9" s="75">
        <v>3</v>
      </c>
      <c r="L9" s="75">
        <v>5</v>
      </c>
      <c r="M9" s="75">
        <v>5</v>
      </c>
      <c r="N9" s="75">
        <v>10</v>
      </c>
      <c r="O9" s="75">
        <v>14</v>
      </c>
      <c r="P9" s="75">
        <v>13</v>
      </c>
      <c r="Q9" s="75">
        <v>5</v>
      </c>
      <c r="R9" s="75">
        <v>5</v>
      </c>
      <c r="S9" s="75">
        <v>5</v>
      </c>
      <c r="T9" s="75">
        <v>5</v>
      </c>
      <c r="U9" s="75">
        <v>17</v>
      </c>
      <c r="V9" s="75">
        <v>5</v>
      </c>
      <c r="W9" s="75">
        <v>3</v>
      </c>
      <c r="X9" s="75">
        <v>10</v>
      </c>
      <c r="Y9" s="75">
        <v>10</v>
      </c>
      <c r="Z9" s="75">
        <v>5</v>
      </c>
      <c r="AA9" s="75">
        <v>5</v>
      </c>
      <c r="AB9" s="75">
        <v>5</v>
      </c>
    </row>
    <row r="10" spans="1:28">
      <c r="A10" s="6" t="s">
        <v>43</v>
      </c>
      <c r="B10" s="76">
        <v>476</v>
      </c>
      <c r="C10" s="76">
        <v>578</v>
      </c>
      <c r="D10" s="76">
        <v>714</v>
      </c>
      <c r="E10" s="76">
        <v>320</v>
      </c>
      <c r="F10" s="76">
        <v>380</v>
      </c>
      <c r="G10" s="76">
        <v>480</v>
      </c>
      <c r="H10" s="76">
        <v>480</v>
      </c>
      <c r="I10" s="76">
        <v>560</v>
      </c>
      <c r="J10" s="76">
        <v>720</v>
      </c>
      <c r="K10" s="76">
        <v>320</v>
      </c>
      <c r="L10" s="76">
        <v>380</v>
      </c>
      <c r="M10" s="76">
        <v>480</v>
      </c>
      <c r="N10" s="76">
        <v>480</v>
      </c>
      <c r="O10" s="76">
        <v>560</v>
      </c>
      <c r="P10" s="76">
        <v>720</v>
      </c>
      <c r="Q10" s="76">
        <v>781</v>
      </c>
      <c r="R10" s="76">
        <v>614</v>
      </c>
      <c r="S10" s="76">
        <v>530</v>
      </c>
      <c r="T10" s="76">
        <v>495</v>
      </c>
      <c r="U10" s="76">
        <v>396</v>
      </c>
      <c r="V10" s="76">
        <v>328</v>
      </c>
      <c r="W10" s="76">
        <v>978</v>
      </c>
      <c r="X10" s="76">
        <v>789</v>
      </c>
      <c r="Y10" s="76">
        <v>661</v>
      </c>
      <c r="Z10" s="76">
        <v>618</v>
      </c>
      <c r="AA10" s="76">
        <v>494</v>
      </c>
      <c r="AB10" s="76">
        <v>412</v>
      </c>
    </row>
    <row r="11" spans="1:28">
      <c r="A11" s="5" t="s">
        <v>72</v>
      </c>
      <c r="B11" s="77">
        <f t="shared" ref="B11:AB11" si="0">$E$2*B12</f>
        <v>8.25</v>
      </c>
      <c r="C11" s="77">
        <f t="shared" si="0"/>
        <v>6.5</v>
      </c>
      <c r="D11" s="77">
        <f t="shared" si="0"/>
        <v>3.75</v>
      </c>
      <c r="E11" s="77">
        <f t="shared" si="0"/>
        <v>8.25</v>
      </c>
      <c r="F11" s="77">
        <f t="shared" si="0"/>
        <v>7.5</v>
      </c>
      <c r="G11" s="77">
        <f t="shared" si="0"/>
        <v>6.25</v>
      </c>
      <c r="H11" s="77">
        <f t="shared" si="0"/>
        <v>10.5</v>
      </c>
      <c r="I11" s="77">
        <f t="shared" si="0"/>
        <v>9.75</v>
      </c>
      <c r="J11" s="77">
        <f t="shared" si="0"/>
        <v>8.5</v>
      </c>
      <c r="K11" s="77">
        <f t="shared" si="0"/>
        <v>2.5</v>
      </c>
      <c r="L11" s="77">
        <f t="shared" si="0"/>
        <v>9.5</v>
      </c>
      <c r="M11" s="77">
        <f t="shared" si="0"/>
        <v>8.5</v>
      </c>
      <c r="N11" s="77">
        <f t="shared" si="0"/>
        <v>16.25</v>
      </c>
      <c r="O11" s="77">
        <f t="shared" si="0"/>
        <v>14.5</v>
      </c>
      <c r="P11" s="77">
        <f t="shared" si="0"/>
        <v>10</v>
      </c>
      <c r="Q11" s="77">
        <f t="shared" si="0"/>
        <v>5.5</v>
      </c>
      <c r="R11" s="77">
        <f t="shared" si="0"/>
        <v>6.5</v>
      </c>
      <c r="S11" s="77">
        <f t="shared" si="0"/>
        <v>7.75</v>
      </c>
      <c r="T11" s="77">
        <f t="shared" si="0"/>
        <v>5.5</v>
      </c>
      <c r="U11" s="77">
        <f t="shared" si="0"/>
        <v>6.5</v>
      </c>
      <c r="V11" s="77">
        <f t="shared" si="0"/>
        <v>7.75</v>
      </c>
      <c r="W11" s="77">
        <f t="shared" si="0"/>
        <v>8.75</v>
      </c>
      <c r="X11" s="77">
        <f t="shared" si="0"/>
        <v>10</v>
      </c>
      <c r="Y11" s="77">
        <f t="shared" si="0"/>
        <v>10.75</v>
      </c>
      <c r="Z11" s="77">
        <f t="shared" si="0"/>
        <v>8.75</v>
      </c>
      <c r="AA11" s="77">
        <f t="shared" si="0"/>
        <v>10</v>
      </c>
      <c r="AB11" s="77">
        <f t="shared" si="0"/>
        <v>10.75</v>
      </c>
    </row>
    <row r="12" spans="1:28">
      <c r="A12" s="5" t="s">
        <v>103</v>
      </c>
      <c r="B12" s="78">
        <v>33</v>
      </c>
      <c r="C12" s="78">
        <v>26</v>
      </c>
      <c r="D12" s="78">
        <v>15</v>
      </c>
      <c r="E12" s="78">
        <v>33</v>
      </c>
      <c r="F12" s="78">
        <v>30</v>
      </c>
      <c r="G12" s="78">
        <v>25</v>
      </c>
      <c r="H12" s="78">
        <v>42</v>
      </c>
      <c r="I12" s="78">
        <v>39</v>
      </c>
      <c r="J12" s="78">
        <v>34</v>
      </c>
      <c r="K12" s="78">
        <v>10</v>
      </c>
      <c r="L12" s="78">
        <v>38</v>
      </c>
      <c r="M12" s="78">
        <v>34</v>
      </c>
      <c r="N12" s="78">
        <v>65</v>
      </c>
      <c r="O12" s="78">
        <v>58</v>
      </c>
      <c r="P12" s="78">
        <v>40</v>
      </c>
      <c r="Q12" s="78">
        <v>22</v>
      </c>
      <c r="R12" s="78">
        <v>26</v>
      </c>
      <c r="S12" s="78">
        <v>31</v>
      </c>
      <c r="T12" s="78">
        <v>22</v>
      </c>
      <c r="U12" s="78">
        <v>26</v>
      </c>
      <c r="V12" s="78">
        <v>31</v>
      </c>
      <c r="W12" s="78">
        <v>35</v>
      </c>
      <c r="X12" s="78">
        <v>40</v>
      </c>
      <c r="Y12" s="78">
        <v>43</v>
      </c>
      <c r="Z12" s="78">
        <v>35</v>
      </c>
      <c r="AA12" s="78">
        <v>40</v>
      </c>
      <c r="AB12" s="78">
        <v>43</v>
      </c>
    </row>
    <row r="13" spans="1:28">
      <c r="A13" s="6" t="s">
        <v>44</v>
      </c>
      <c r="B13" s="79">
        <v>6</v>
      </c>
      <c r="C13" s="79">
        <v>6</v>
      </c>
      <c r="D13" s="79">
        <v>6</v>
      </c>
      <c r="E13" s="79">
        <v>10</v>
      </c>
      <c r="F13" s="79">
        <v>10</v>
      </c>
      <c r="G13" s="79">
        <v>10</v>
      </c>
      <c r="H13" s="79">
        <v>15</v>
      </c>
      <c r="I13" s="79">
        <v>15</v>
      </c>
      <c r="J13" s="79">
        <v>15</v>
      </c>
      <c r="K13" s="79">
        <v>15</v>
      </c>
      <c r="L13" s="79">
        <v>15</v>
      </c>
      <c r="M13" s="79">
        <v>15</v>
      </c>
      <c r="N13" s="79">
        <v>10</v>
      </c>
      <c r="O13" s="79">
        <v>10</v>
      </c>
      <c r="P13" s="79">
        <v>10</v>
      </c>
      <c r="Q13" s="79">
        <v>15</v>
      </c>
      <c r="R13" s="79">
        <v>15</v>
      </c>
      <c r="S13" s="79">
        <v>15</v>
      </c>
      <c r="T13" s="79">
        <v>15</v>
      </c>
      <c r="U13" s="79">
        <v>15</v>
      </c>
      <c r="V13" s="79">
        <v>15</v>
      </c>
      <c r="W13" s="79">
        <v>42</v>
      </c>
      <c r="X13" s="79">
        <v>42</v>
      </c>
      <c r="Y13" s="79">
        <v>42</v>
      </c>
      <c r="Z13" s="79">
        <v>42</v>
      </c>
      <c r="AA13" s="79">
        <v>42</v>
      </c>
      <c r="AB13" s="79">
        <v>42</v>
      </c>
    </row>
    <row r="14" spans="1:28">
      <c r="A14" s="5" t="s">
        <v>107</v>
      </c>
      <c r="B14" s="68">
        <f t="shared" ref="B14:AB14" si="1">B16+B9*SQRT(B13/5)*-_xlfn.NORM.S.INV(1-$K$2)</f>
        <v>2632.2385356803411</v>
      </c>
      <c r="C14" s="68">
        <f t="shared" si="1"/>
        <v>3369.070743933929</v>
      </c>
      <c r="D14" s="68">
        <f t="shared" si="1"/>
        <v>3183.9206022493986</v>
      </c>
      <c r="E14" s="68">
        <f t="shared" si="1"/>
        <v>76.899527142663743</v>
      </c>
      <c r="F14" s="68">
        <f t="shared" si="1"/>
        <v>75.599527142663732</v>
      </c>
      <c r="G14" s="68">
        <f t="shared" si="1"/>
        <v>156.39952714266374</v>
      </c>
      <c r="H14" s="68">
        <f t="shared" si="1"/>
        <v>42.088058141755738</v>
      </c>
      <c r="I14" s="68">
        <f t="shared" si="1"/>
        <v>24.088058141755738</v>
      </c>
      <c r="J14" s="68">
        <f t="shared" si="1"/>
        <v>62.146763569592892</v>
      </c>
      <c r="K14" s="68">
        <f t="shared" si="1"/>
        <v>20.488058141755737</v>
      </c>
      <c r="L14" s="68">
        <f t="shared" si="1"/>
        <v>21.346763569592891</v>
      </c>
      <c r="M14" s="68">
        <f t="shared" si="1"/>
        <v>21.346763569592891</v>
      </c>
      <c r="N14" s="68">
        <f t="shared" si="1"/>
        <v>118.89952714266374</v>
      </c>
      <c r="O14" s="68">
        <f t="shared" si="1"/>
        <v>161.05933799972922</v>
      </c>
      <c r="P14" s="68">
        <f t="shared" si="1"/>
        <v>154.76938528546287</v>
      </c>
      <c r="Q14" s="68">
        <f t="shared" si="1"/>
        <v>97.546763569592898</v>
      </c>
      <c r="R14" s="68">
        <f t="shared" si="1"/>
        <v>60.346763569592895</v>
      </c>
      <c r="S14" s="68">
        <f t="shared" si="1"/>
        <v>76.846763569592895</v>
      </c>
      <c r="T14" s="68">
        <f t="shared" si="1"/>
        <v>53.146763569592892</v>
      </c>
      <c r="U14" s="68">
        <f t="shared" si="1"/>
        <v>101.49899613661584</v>
      </c>
      <c r="V14" s="68">
        <f t="shared" si="1"/>
        <v>30.646763569592892</v>
      </c>
      <c r="W14" s="68">
        <f t="shared" si="1"/>
        <v>331.86719009125358</v>
      </c>
      <c r="X14" s="68">
        <f t="shared" si="1"/>
        <v>148.06396697084534</v>
      </c>
      <c r="Y14" s="68">
        <f t="shared" si="1"/>
        <v>294.22396697084537</v>
      </c>
      <c r="Z14" s="68">
        <f t="shared" si="1"/>
        <v>42.95198348542268</v>
      </c>
      <c r="AA14" s="68">
        <f t="shared" si="1"/>
        <v>48.831983485422676</v>
      </c>
      <c r="AB14" s="68">
        <f t="shared" si="1"/>
        <v>35.391983485422678</v>
      </c>
    </row>
    <row r="15" spans="1:28">
      <c r="A15" s="5" t="s">
        <v>70</v>
      </c>
      <c r="B15" s="68">
        <f t="shared" ref="B15:AB15" si="2">SQRT(2*$C$2*B17/($E$2*B12))</f>
        <v>1020.4217785115163</v>
      </c>
      <c r="C15" s="68">
        <f t="shared" si="2"/>
        <v>1299.5383795794567</v>
      </c>
      <c r="D15" s="68">
        <f t="shared" si="2"/>
        <v>1595.0144548282663</v>
      </c>
      <c r="E15" s="68">
        <f t="shared" si="2"/>
        <v>117.75681155103796</v>
      </c>
      <c r="F15" s="68">
        <f t="shared" si="2"/>
        <v>121.66621004480524</v>
      </c>
      <c r="G15" s="68">
        <f t="shared" si="2"/>
        <v>226.66274506411503</v>
      </c>
      <c r="H15" s="68">
        <f t="shared" si="2"/>
        <v>70.373155054899684</v>
      </c>
      <c r="I15" s="68">
        <f t="shared" si="2"/>
        <v>46.188021535170066</v>
      </c>
      <c r="J15" s="68">
        <f t="shared" si="2"/>
        <v>92.545696184927692</v>
      </c>
      <c r="K15" s="68">
        <f t="shared" si="2"/>
        <v>76.315136113355649</v>
      </c>
      <c r="L15" s="68">
        <f t="shared" si="2"/>
        <v>14.796870223836278</v>
      </c>
      <c r="M15" s="68">
        <f t="shared" si="2"/>
        <v>15.643077777500858</v>
      </c>
      <c r="N15" s="68">
        <f t="shared" si="2"/>
        <v>117.30302638892144</v>
      </c>
      <c r="O15" s="68">
        <f t="shared" si="2"/>
        <v>143.59905868484103</v>
      </c>
      <c r="P15" s="68">
        <f t="shared" si="2"/>
        <v>170.64583206161234</v>
      </c>
      <c r="Q15" s="68">
        <f t="shared" si="2"/>
        <v>156.18171235047743</v>
      </c>
      <c r="R15" s="68">
        <f t="shared" si="2"/>
        <v>103.53743284435828</v>
      </c>
      <c r="S15" s="68">
        <f t="shared" si="2"/>
        <v>112.61123533014211</v>
      </c>
      <c r="T15" s="68">
        <f t="shared" si="2"/>
        <v>101.9803902718557</v>
      </c>
      <c r="U15" s="68">
        <f t="shared" si="2"/>
        <v>93.808315196468598</v>
      </c>
      <c r="V15" s="68">
        <f t="shared" si="2"/>
        <v>48.46015989216496</v>
      </c>
      <c r="W15" s="68">
        <f t="shared" si="2"/>
        <v>148.48568954616468</v>
      </c>
      <c r="X15" s="68">
        <f t="shared" si="2"/>
        <v>70.654086930622782</v>
      </c>
      <c r="Y15" s="68">
        <f t="shared" si="2"/>
        <v>114.28239197828802</v>
      </c>
      <c r="Z15" s="68">
        <f t="shared" si="2"/>
        <v>25.567836938510968</v>
      </c>
      <c r="AA15" s="68">
        <f t="shared" si="2"/>
        <v>30.594117081556711</v>
      </c>
      <c r="AB15" s="68">
        <f t="shared" si="2"/>
        <v>9.8358622421479467</v>
      </c>
    </row>
    <row r="16" spans="1:28">
      <c r="A16" s="5" t="s">
        <v>47</v>
      </c>
      <c r="B16" s="69">
        <f t="shared" ref="B16:AB16" si="3">(B8/5)*B13</f>
        <v>1982.3999999999999</v>
      </c>
      <c r="C16" s="69">
        <f t="shared" si="3"/>
        <v>2533.1999999999998</v>
      </c>
      <c r="D16" s="69">
        <f t="shared" si="3"/>
        <v>2201.6</v>
      </c>
      <c r="E16" s="69">
        <f t="shared" si="3"/>
        <v>44</v>
      </c>
      <c r="F16" s="69">
        <f t="shared" si="3"/>
        <v>42.7</v>
      </c>
      <c r="G16" s="69">
        <f t="shared" si="3"/>
        <v>123.5</v>
      </c>
      <c r="H16" s="69">
        <f t="shared" si="3"/>
        <v>30</v>
      </c>
      <c r="I16" s="69">
        <f t="shared" si="3"/>
        <v>12</v>
      </c>
      <c r="J16" s="69">
        <f t="shared" si="3"/>
        <v>42</v>
      </c>
      <c r="K16" s="69">
        <f t="shared" si="3"/>
        <v>8.3999999999999986</v>
      </c>
      <c r="L16" s="69">
        <f t="shared" si="3"/>
        <v>1.2</v>
      </c>
      <c r="M16" s="69">
        <f t="shared" si="3"/>
        <v>1.2</v>
      </c>
      <c r="N16" s="69">
        <f t="shared" si="3"/>
        <v>86</v>
      </c>
      <c r="O16" s="69">
        <f t="shared" si="3"/>
        <v>115</v>
      </c>
      <c r="P16" s="69">
        <f t="shared" si="3"/>
        <v>112</v>
      </c>
      <c r="Q16" s="69">
        <f t="shared" si="3"/>
        <v>77.400000000000006</v>
      </c>
      <c r="R16" s="69">
        <f t="shared" si="3"/>
        <v>40.200000000000003</v>
      </c>
      <c r="S16" s="69">
        <f t="shared" si="3"/>
        <v>56.699999999999996</v>
      </c>
      <c r="T16" s="69">
        <f t="shared" si="3"/>
        <v>33</v>
      </c>
      <c r="U16" s="69">
        <f t="shared" si="3"/>
        <v>33</v>
      </c>
      <c r="V16" s="69">
        <f t="shared" si="3"/>
        <v>10.5</v>
      </c>
      <c r="W16" s="69">
        <f t="shared" si="3"/>
        <v>311.64</v>
      </c>
      <c r="X16" s="69">
        <f t="shared" si="3"/>
        <v>80.64</v>
      </c>
      <c r="Y16" s="69">
        <f t="shared" si="3"/>
        <v>226.8</v>
      </c>
      <c r="Z16" s="69">
        <f t="shared" si="3"/>
        <v>9.240000000000002</v>
      </c>
      <c r="AA16" s="69">
        <f t="shared" si="3"/>
        <v>15.12</v>
      </c>
      <c r="AB16" s="69">
        <f t="shared" si="3"/>
        <v>1.68</v>
      </c>
    </row>
    <row r="17" spans="1:28">
      <c r="A17" s="5" t="s">
        <v>50</v>
      </c>
      <c r="B17" s="69">
        <f t="shared" ref="B17:AB17" si="4">(B16/B13)*5*52</f>
        <v>85904</v>
      </c>
      <c r="C17" s="69">
        <f t="shared" si="4"/>
        <v>109772</v>
      </c>
      <c r="D17" s="69">
        <f t="shared" si="4"/>
        <v>95402.666666666672</v>
      </c>
      <c r="E17" s="69">
        <f t="shared" si="4"/>
        <v>1144</v>
      </c>
      <c r="F17" s="69">
        <f t="shared" si="4"/>
        <v>1110.2</v>
      </c>
      <c r="G17" s="69">
        <f t="shared" si="4"/>
        <v>3211</v>
      </c>
      <c r="H17" s="69">
        <f t="shared" si="4"/>
        <v>520</v>
      </c>
      <c r="I17" s="69">
        <f t="shared" si="4"/>
        <v>208</v>
      </c>
      <c r="J17" s="69">
        <f t="shared" si="4"/>
        <v>728</v>
      </c>
      <c r="K17" s="69">
        <f t="shared" si="4"/>
        <v>145.6</v>
      </c>
      <c r="L17" s="69">
        <f t="shared" si="4"/>
        <v>20.8</v>
      </c>
      <c r="M17" s="69">
        <f t="shared" si="4"/>
        <v>20.8</v>
      </c>
      <c r="N17" s="69">
        <f t="shared" si="4"/>
        <v>2236</v>
      </c>
      <c r="O17" s="69">
        <f t="shared" si="4"/>
        <v>2990</v>
      </c>
      <c r="P17" s="69">
        <f t="shared" si="4"/>
        <v>2912</v>
      </c>
      <c r="Q17" s="69">
        <f t="shared" si="4"/>
        <v>1341.6000000000001</v>
      </c>
      <c r="R17" s="69">
        <f t="shared" si="4"/>
        <v>696.80000000000007</v>
      </c>
      <c r="S17" s="69">
        <f t="shared" si="4"/>
        <v>982.8</v>
      </c>
      <c r="T17" s="69">
        <f t="shared" si="4"/>
        <v>572</v>
      </c>
      <c r="U17" s="69">
        <f t="shared" si="4"/>
        <v>572</v>
      </c>
      <c r="V17" s="69">
        <f t="shared" si="4"/>
        <v>182</v>
      </c>
      <c r="W17" s="69">
        <f t="shared" si="4"/>
        <v>1929.2</v>
      </c>
      <c r="X17" s="69">
        <f t="shared" si="4"/>
        <v>499.2</v>
      </c>
      <c r="Y17" s="69">
        <f t="shared" si="4"/>
        <v>1404</v>
      </c>
      <c r="Z17" s="69">
        <f t="shared" si="4"/>
        <v>57.200000000000017</v>
      </c>
      <c r="AA17" s="69">
        <f t="shared" si="4"/>
        <v>93.6</v>
      </c>
      <c r="AB17" s="69">
        <f t="shared" si="4"/>
        <v>10.4</v>
      </c>
    </row>
    <row r="18" spans="1:28">
      <c r="A18" s="5" t="s">
        <v>48</v>
      </c>
      <c r="B18" s="69">
        <f>B14</f>
        <v>2632.2385356803411</v>
      </c>
      <c r="C18" s="69">
        <f t="shared" ref="C18:AB18" si="5">C14</f>
        <v>3369.070743933929</v>
      </c>
      <c r="D18" s="69">
        <f t="shared" si="5"/>
        <v>3183.9206022493986</v>
      </c>
      <c r="E18" s="69">
        <f t="shared" si="5"/>
        <v>76.899527142663743</v>
      </c>
      <c r="F18" s="69">
        <f t="shared" si="5"/>
        <v>75.599527142663732</v>
      </c>
      <c r="G18" s="69">
        <f t="shared" si="5"/>
        <v>156.39952714266374</v>
      </c>
      <c r="H18" s="69">
        <f t="shared" si="5"/>
        <v>42.088058141755738</v>
      </c>
      <c r="I18" s="69">
        <f t="shared" si="5"/>
        <v>24.088058141755738</v>
      </c>
      <c r="J18" s="69">
        <f t="shared" si="5"/>
        <v>62.146763569592892</v>
      </c>
      <c r="K18" s="69">
        <f t="shared" si="5"/>
        <v>20.488058141755737</v>
      </c>
      <c r="L18" s="69">
        <f t="shared" si="5"/>
        <v>21.346763569592891</v>
      </c>
      <c r="M18" s="69">
        <f t="shared" si="5"/>
        <v>21.346763569592891</v>
      </c>
      <c r="N18" s="69">
        <f t="shared" si="5"/>
        <v>118.89952714266374</v>
      </c>
      <c r="O18" s="69">
        <f t="shared" si="5"/>
        <v>161.05933799972922</v>
      </c>
      <c r="P18" s="69">
        <f t="shared" si="5"/>
        <v>154.76938528546287</v>
      </c>
      <c r="Q18" s="69">
        <f t="shared" si="5"/>
        <v>97.546763569592898</v>
      </c>
      <c r="R18" s="69">
        <f t="shared" si="5"/>
        <v>60.346763569592895</v>
      </c>
      <c r="S18" s="69">
        <f t="shared" si="5"/>
        <v>76.846763569592895</v>
      </c>
      <c r="T18" s="69">
        <f t="shared" si="5"/>
        <v>53.146763569592892</v>
      </c>
      <c r="U18" s="69">
        <f t="shared" si="5"/>
        <v>101.49899613661584</v>
      </c>
      <c r="V18" s="69">
        <f t="shared" si="5"/>
        <v>30.646763569592892</v>
      </c>
      <c r="W18" s="69">
        <f t="shared" si="5"/>
        <v>331.86719009125358</v>
      </c>
      <c r="X18" s="69">
        <f t="shared" si="5"/>
        <v>148.06396697084534</v>
      </c>
      <c r="Y18" s="69">
        <f t="shared" si="5"/>
        <v>294.22396697084537</v>
      </c>
      <c r="Z18" s="69">
        <f t="shared" si="5"/>
        <v>42.95198348542268</v>
      </c>
      <c r="AA18" s="69">
        <f t="shared" si="5"/>
        <v>48.831983485422676</v>
      </c>
      <c r="AB18" s="69">
        <f t="shared" si="5"/>
        <v>35.391983485422678</v>
      </c>
    </row>
    <row r="19" spans="1:28">
      <c r="A19" s="5" t="s">
        <v>49</v>
      </c>
      <c r="B19" s="69">
        <f>B14+B15</f>
        <v>3652.6603141918577</v>
      </c>
      <c r="C19" s="69">
        <f t="shared" ref="C19:AB19" si="6">C14+C15</f>
        <v>4668.6091235133854</v>
      </c>
      <c r="D19" s="69">
        <f t="shared" si="6"/>
        <v>4778.9350570776651</v>
      </c>
      <c r="E19" s="69">
        <f t="shared" si="6"/>
        <v>194.65633869370168</v>
      </c>
      <c r="F19" s="69">
        <f t="shared" si="6"/>
        <v>197.26573718746897</v>
      </c>
      <c r="G19" s="69">
        <f t="shared" si="6"/>
        <v>383.06227220677874</v>
      </c>
      <c r="H19" s="69">
        <f t="shared" si="6"/>
        <v>112.46121319665542</v>
      </c>
      <c r="I19" s="69">
        <f t="shared" si="6"/>
        <v>70.276079676925804</v>
      </c>
      <c r="J19" s="69">
        <f t="shared" si="6"/>
        <v>154.6924597545206</v>
      </c>
      <c r="K19" s="69">
        <f t="shared" si="6"/>
        <v>96.803194255111379</v>
      </c>
      <c r="L19" s="69">
        <f t="shared" si="6"/>
        <v>36.143633793429167</v>
      </c>
      <c r="M19" s="69">
        <f t="shared" si="6"/>
        <v>36.989841347093751</v>
      </c>
      <c r="N19" s="69">
        <f t="shared" si="6"/>
        <v>236.20255353158518</v>
      </c>
      <c r="O19" s="69">
        <f t="shared" si="6"/>
        <v>304.65839668457022</v>
      </c>
      <c r="P19" s="69">
        <f t="shared" si="6"/>
        <v>325.41521734707521</v>
      </c>
      <c r="Q19" s="69">
        <f t="shared" si="6"/>
        <v>253.72847592007031</v>
      </c>
      <c r="R19" s="69">
        <f t="shared" si="6"/>
        <v>163.88419641395117</v>
      </c>
      <c r="S19" s="69">
        <f t="shared" si="6"/>
        <v>189.457998899735</v>
      </c>
      <c r="T19" s="69">
        <f t="shared" si="6"/>
        <v>155.1271538414486</v>
      </c>
      <c r="U19" s="69">
        <f t="shared" si="6"/>
        <v>195.30731133308444</v>
      </c>
      <c r="V19" s="69">
        <f t="shared" si="6"/>
        <v>79.106923461757845</v>
      </c>
      <c r="W19" s="69">
        <f t="shared" si="6"/>
        <v>480.35287963741825</v>
      </c>
      <c r="X19" s="69">
        <f t="shared" si="6"/>
        <v>218.71805390146812</v>
      </c>
      <c r="Y19" s="69">
        <f t="shared" si="6"/>
        <v>408.50635894913341</v>
      </c>
      <c r="Z19" s="69">
        <f t="shared" si="6"/>
        <v>68.519820423933652</v>
      </c>
      <c r="AA19" s="69">
        <f t="shared" si="6"/>
        <v>79.426100566979386</v>
      </c>
      <c r="AB19" s="69">
        <f t="shared" si="6"/>
        <v>45.227845727570624</v>
      </c>
    </row>
    <row r="20" spans="1:28">
      <c r="A20" s="5" t="s">
        <v>51</v>
      </c>
      <c r="B20" s="70">
        <f>SUMIF('Data log'!$A:$A,'Purchase Dashboard'!$I$2,'Data log'!C:C)</f>
        <v>0</v>
      </c>
      <c r="C20" s="70">
        <f>SUMIF('Data log'!$A:$A,'Purchase Dashboard'!$I$2,'Data log'!D:D)</f>
        <v>0</v>
      </c>
      <c r="D20" s="70">
        <f>SUMIF('Data log'!$A:$A,'Purchase Dashboard'!$I$2,'Data log'!E:E)</f>
        <v>0</v>
      </c>
      <c r="E20" s="70">
        <f>SUMIF('Data log'!$A:$A,'Purchase Dashboard'!$I$2,'Data log'!F:F)</f>
        <v>0</v>
      </c>
      <c r="F20" s="70">
        <f>SUMIF('Data log'!$A:$A,'Purchase Dashboard'!$I$2,'Data log'!G:G)</f>
        <v>0</v>
      </c>
      <c r="G20" s="70">
        <f>SUMIF('Data log'!$A:$A,'Purchase Dashboard'!$I$2,'Data log'!H:H)</f>
        <v>0</v>
      </c>
      <c r="H20" s="70">
        <f>SUMIF('Data log'!$A:$A,'Purchase Dashboard'!$I$2,'Data log'!I:I)</f>
        <v>0</v>
      </c>
      <c r="I20" s="70">
        <f>SUMIF('Data log'!$A:$A,'Purchase Dashboard'!$I$2,'Data log'!J:J)</f>
        <v>0</v>
      </c>
      <c r="J20" s="70">
        <f>SUMIF('Data log'!$A:$A,'Purchase Dashboard'!$I$2,'Data log'!K:K)</f>
        <v>0</v>
      </c>
      <c r="K20" s="70">
        <f>SUMIF('Data log'!$A:$A,'Purchase Dashboard'!$I$2,'Data log'!L:L)</f>
        <v>0</v>
      </c>
      <c r="L20" s="70">
        <f>SUMIF('Data log'!$A:$A,'Purchase Dashboard'!$I$2,'Data log'!M:M)</f>
        <v>0</v>
      </c>
      <c r="M20" s="70">
        <f>SUMIF('Data log'!$A:$A,'Purchase Dashboard'!$I$2,'Data log'!N:N)</f>
        <v>0</v>
      </c>
      <c r="N20" s="70">
        <f>SUMIF('Data log'!$A:$A,'Purchase Dashboard'!$I$2,'Data log'!O:O)</f>
        <v>0</v>
      </c>
      <c r="O20" s="70">
        <f>SUMIF('Data log'!$A:$A,'Purchase Dashboard'!$I$2,'Data log'!P:P)</f>
        <v>0</v>
      </c>
      <c r="P20" s="70">
        <f>SUMIF('Data log'!$A:$A,'Purchase Dashboard'!$I$2,'Data log'!Q:Q)</f>
        <v>0</v>
      </c>
      <c r="Q20" s="70">
        <f>SUMIF('Data log'!$A:$A,'Purchase Dashboard'!$I$2,'Data log'!R:R)</f>
        <v>0</v>
      </c>
      <c r="R20" s="70">
        <f>SUMIF('Data log'!$A:$A,'Purchase Dashboard'!$I$2,'Data log'!S:S)</f>
        <v>0</v>
      </c>
      <c r="S20" s="70">
        <f>SUMIF('Data log'!$A:$A,'Purchase Dashboard'!$I$2,'Data log'!T:T)</f>
        <v>0</v>
      </c>
      <c r="T20" s="70">
        <f>SUMIF('Data log'!$A:$A,'Purchase Dashboard'!$I$2,'Data log'!U:U)</f>
        <v>0</v>
      </c>
      <c r="U20" s="70">
        <f>SUMIF('Data log'!$A:$A,'Purchase Dashboard'!$I$2,'Data log'!V:V)</f>
        <v>0</v>
      </c>
      <c r="V20" s="70">
        <f>SUMIF('Data log'!$A:$A,'Purchase Dashboard'!$I$2,'Data log'!W:W)</f>
        <v>0</v>
      </c>
      <c r="W20" s="70">
        <f>SUMIF('Data log'!$A:$A,'Purchase Dashboard'!$I$2,'Data log'!X:X)</f>
        <v>0</v>
      </c>
      <c r="X20" s="70">
        <f>SUMIF('Data log'!$A:$A,'Purchase Dashboard'!$I$2,'Data log'!Y:Y)</f>
        <v>0</v>
      </c>
      <c r="Y20" s="70">
        <f>SUMIF('Data log'!$A:$A,'Purchase Dashboard'!$I$2,'Data log'!Z:Z)</f>
        <v>0</v>
      </c>
      <c r="Z20" s="70">
        <f>SUMIF('Data log'!$A:$A,'Purchase Dashboard'!$I$2,'Data log'!AA:AA)</f>
        <v>0</v>
      </c>
      <c r="AA20" s="70">
        <f>SUMIF('Data log'!$A:$A,'Purchase Dashboard'!$I$2,'Data log'!AB:AB)</f>
        <v>0</v>
      </c>
      <c r="AB20" s="70">
        <f>SUMIF('Data log'!$A:$A,'Purchase Dashboard'!$I$2,'Data log'!AC:AC)</f>
        <v>0</v>
      </c>
    </row>
    <row r="21" spans="1:28">
      <c r="A21" s="5" t="s">
        <v>75</v>
      </c>
      <c r="B21" s="71">
        <f t="shared" ref="B21:AB21" si="7">IF(B20&lt;B18,B19-B20,0)</f>
        <v>3652.6603141918577</v>
      </c>
      <c r="C21" s="71">
        <f t="shared" si="7"/>
        <v>4668.6091235133854</v>
      </c>
      <c r="D21" s="71">
        <f t="shared" si="7"/>
        <v>4778.9350570776651</v>
      </c>
      <c r="E21" s="71">
        <f t="shared" si="7"/>
        <v>194.65633869370168</v>
      </c>
      <c r="F21" s="71">
        <f t="shared" si="7"/>
        <v>197.26573718746897</v>
      </c>
      <c r="G21" s="71">
        <f t="shared" si="7"/>
        <v>383.06227220677874</v>
      </c>
      <c r="H21" s="71">
        <f t="shared" si="7"/>
        <v>112.46121319665542</v>
      </c>
      <c r="I21" s="71">
        <f t="shared" si="7"/>
        <v>70.276079676925804</v>
      </c>
      <c r="J21" s="71">
        <f t="shared" si="7"/>
        <v>154.6924597545206</v>
      </c>
      <c r="K21" s="71">
        <f t="shared" si="7"/>
        <v>96.803194255111379</v>
      </c>
      <c r="L21" s="71">
        <f t="shared" si="7"/>
        <v>36.143633793429167</v>
      </c>
      <c r="M21" s="71">
        <f t="shared" si="7"/>
        <v>36.989841347093751</v>
      </c>
      <c r="N21" s="71">
        <f t="shared" si="7"/>
        <v>236.20255353158518</v>
      </c>
      <c r="O21" s="71">
        <f t="shared" si="7"/>
        <v>304.65839668457022</v>
      </c>
      <c r="P21" s="71">
        <f t="shared" si="7"/>
        <v>325.41521734707521</v>
      </c>
      <c r="Q21" s="71">
        <f t="shared" si="7"/>
        <v>253.72847592007031</v>
      </c>
      <c r="R21" s="71">
        <f t="shared" si="7"/>
        <v>163.88419641395117</v>
      </c>
      <c r="S21" s="71">
        <f t="shared" si="7"/>
        <v>189.457998899735</v>
      </c>
      <c r="T21" s="71">
        <f t="shared" si="7"/>
        <v>155.1271538414486</v>
      </c>
      <c r="U21" s="71">
        <f t="shared" si="7"/>
        <v>195.30731133308444</v>
      </c>
      <c r="V21" s="71">
        <f t="shared" si="7"/>
        <v>79.106923461757845</v>
      </c>
      <c r="W21" s="71">
        <f t="shared" si="7"/>
        <v>480.35287963741825</v>
      </c>
      <c r="X21" s="71">
        <f t="shared" si="7"/>
        <v>218.71805390146812</v>
      </c>
      <c r="Y21" s="71">
        <f t="shared" si="7"/>
        <v>408.50635894913341</v>
      </c>
      <c r="Z21" s="71">
        <f t="shared" si="7"/>
        <v>68.519820423933652</v>
      </c>
      <c r="AA21" s="71">
        <f t="shared" si="7"/>
        <v>79.426100566979386</v>
      </c>
      <c r="AB21" s="71">
        <f t="shared" si="7"/>
        <v>45.227845727570624</v>
      </c>
    </row>
    <row r="22" spans="1:28">
      <c r="A22" s="5" t="s">
        <v>101</v>
      </c>
      <c r="B22" s="72">
        <v>0.19232098804105857</v>
      </c>
      <c r="C22" s="72">
        <v>0.2024477786674754</v>
      </c>
      <c r="D22" s="72">
        <v>0.16775231494193754</v>
      </c>
      <c r="E22" s="72">
        <v>1.5426819753730652E-2</v>
      </c>
      <c r="F22" s="72">
        <v>1.3090749201874806E-2</v>
      </c>
      <c r="G22" s="72">
        <v>2.0143806235130905E-2</v>
      </c>
      <c r="H22" s="72">
        <v>5.9427531479048544E-3</v>
      </c>
      <c r="I22" s="72">
        <v>3.2913163722018929E-3</v>
      </c>
      <c r="J22" s="72">
        <v>5.4770023724810433E-3</v>
      </c>
      <c r="K22" s="72">
        <v>7.686711272472193E-3</v>
      </c>
      <c r="L22" s="72">
        <v>2.4627963379007483E-3</v>
      </c>
      <c r="M22" s="72">
        <v>2.0276629892358915E-3</v>
      </c>
      <c r="N22" s="72">
        <v>1.2465346968027419E-2</v>
      </c>
      <c r="O22" s="72">
        <v>1.3794362317028262E-2</v>
      </c>
      <c r="P22" s="72">
        <v>1.147185903664347E-2</v>
      </c>
      <c r="Q22" s="72">
        <v>8.1637921276212101E-3</v>
      </c>
      <c r="R22" s="72">
        <v>6.7166759673590315E-3</v>
      </c>
      <c r="S22" s="72">
        <v>9.047525203986698E-3</v>
      </c>
      <c r="T22" s="72">
        <v>7.9168910527537602E-3</v>
      </c>
      <c r="U22" s="72">
        <v>1.2396117988196538E-2</v>
      </c>
      <c r="V22" s="72">
        <v>6.1132437030530454E-3</v>
      </c>
      <c r="W22" s="72">
        <v>1.2544950892017456E-2</v>
      </c>
      <c r="X22" s="72">
        <v>7.1007860717384021E-3</v>
      </c>
      <c r="Y22" s="72">
        <v>1.5667288078465794E-2</v>
      </c>
      <c r="Z22" s="72">
        <v>4.7686941897175129E-3</v>
      </c>
      <c r="AA22" s="72">
        <v>6.4308742532343784E-3</v>
      </c>
      <c r="AB22" s="72">
        <v>5.0327677753450404E-3</v>
      </c>
    </row>
    <row r="23" spans="1:28">
      <c r="A23" s="5" t="s">
        <v>76</v>
      </c>
      <c r="B23" s="68">
        <f>(1+B22)*B21</f>
        <v>4355.1435547955989</v>
      </c>
      <c r="C23" s="68">
        <f t="shared" ref="C23:H23" si="8">(1+C22)*C21</f>
        <v>5613.7586700353795</v>
      </c>
      <c r="D23" s="68">
        <f t="shared" si="8"/>
        <v>5580.6124758596234</v>
      </c>
      <c r="E23" s="68">
        <f t="shared" si="8"/>
        <v>197.65926694465057</v>
      </c>
      <c r="F23" s="68">
        <f t="shared" si="8"/>
        <v>199.84809347911309</v>
      </c>
      <c r="G23" s="68">
        <f t="shared" si="8"/>
        <v>390.77860439410108</v>
      </c>
      <c r="H23" s="68">
        <f t="shared" si="8"/>
        <v>113.12954242539703</v>
      </c>
      <c r="I23" s="68">
        <f t="shared" ref="I23" si="9">(1+I22)*I21</f>
        <v>70.507380488540633</v>
      </c>
      <c r="J23" s="68">
        <f t="shared" ref="J23" si="10">(1+J22)*J21</f>
        <v>155.53971072360105</v>
      </c>
      <c r="K23" s="68">
        <f t="shared" ref="K23" si="11">(1+K22)*K21</f>
        <v>97.547292459603455</v>
      </c>
      <c r="L23" s="68">
        <f t="shared" ref="L23" si="12">(1+L22)*L21</f>
        <v>36.232648202374051</v>
      </c>
      <c r="M23" s="68">
        <f t="shared" ref="M23:N23" si="13">(1+M22)*M21</f>
        <v>37.064844279370966</v>
      </c>
      <c r="N23" s="68">
        <f t="shared" si="13"/>
        <v>239.14690031609044</v>
      </c>
      <c r="O23" s="68">
        <f t="shared" ref="O23" si="14">(1+O22)*O21</f>
        <v>308.8609649913621</v>
      </c>
      <c r="P23" s="68">
        <f t="shared" ref="P23" si="15">(1+P22)*P21</f>
        <v>329.14833484885952</v>
      </c>
      <c r="Q23" s="68">
        <f t="shared" ref="Q23" si="16">(1+Q22)*Q21</f>
        <v>255.79986245433992</v>
      </c>
      <c r="R23" s="68">
        <f t="shared" ref="R23" si="17">(1+R22)*R21</f>
        <v>164.9849534574347</v>
      </c>
      <c r="S23" s="68">
        <f t="shared" ref="S23:T23" si="18">(1+S22)*S21</f>
        <v>191.17212491987726</v>
      </c>
      <c r="T23" s="68">
        <f t="shared" si="18"/>
        <v>156.35527861773514</v>
      </c>
      <c r="U23" s="68">
        <f t="shared" ref="U23" si="19">(1+U22)*U21</f>
        <v>197.7283638083268</v>
      </c>
      <c r="V23" s="68">
        <f t="shared" ref="V23" si="20">(1+V22)*V21</f>
        <v>79.59052336347834</v>
      </c>
      <c r="W23" s="68">
        <f t="shared" ref="W23" si="21">(1+W22)*W21</f>
        <v>486.37888292330882</v>
      </c>
      <c r="X23" s="68">
        <f t="shared" ref="X23" si="22">(1+X22)*X21</f>
        <v>220.2711240122494</v>
      </c>
      <c r="Y23" s="68">
        <f t="shared" ref="Y23:Z23" si="23">(1+Y22)*Y21</f>
        <v>414.90654575667469</v>
      </c>
      <c r="Z23" s="68">
        <f t="shared" si="23"/>
        <v>68.846570493469756</v>
      </c>
      <c r="AA23" s="68">
        <f t="shared" ref="AA23" si="24">(1+AA22)*AA21</f>
        <v>79.936879832150382</v>
      </c>
      <c r="AB23" s="68">
        <f t="shared" ref="AB23" si="25">(1+AB22)*AB21</f>
        <v>45.455466972096616</v>
      </c>
    </row>
    <row r="24" spans="1:28">
      <c r="A24" s="5" t="s">
        <v>74</v>
      </c>
      <c r="B24" s="70">
        <f t="shared" ref="B24:AB24" si="26">B23/B10</f>
        <v>9.1494612495705852</v>
      </c>
      <c r="C24" s="70">
        <f t="shared" si="26"/>
        <v>9.7123852422757437</v>
      </c>
      <c r="D24" s="70">
        <f t="shared" si="26"/>
        <v>7.8159838597473721</v>
      </c>
      <c r="E24" s="70">
        <f t="shared" si="26"/>
        <v>0.61768520920203307</v>
      </c>
      <c r="F24" s="70">
        <f t="shared" si="26"/>
        <v>0.52591603547135024</v>
      </c>
      <c r="G24" s="70">
        <f t="shared" si="26"/>
        <v>0.81412209248771061</v>
      </c>
      <c r="H24" s="70">
        <f t="shared" si="26"/>
        <v>0.23568654671957714</v>
      </c>
      <c r="I24" s="70">
        <f t="shared" si="26"/>
        <v>0.1259060365866797</v>
      </c>
      <c r="J24" s="70">
        <f t="shared" si="26"/>
        <v>0.21602737600500146</v>
      </c>
      <c r="K24" s="70">
        <f t="shared" si="26"/>
        <v>0.30483528893626077</v>
      </c>
      <c r="L24" s="70">
        <f t="shared" si="26"/>
        <v>9.5349074216773813E-2</v>
      </c>
      <c r="M24" s="70">
        <f t="shared" si="26"/>
        <v>7.721842558202284E-2</v>
      </c>
      <c r="N24" s="70">
        <f t="shared" si="26"/>
        <v>0.49822270899185506</v>
      </c>
      <c r="O24" s="70">
        <f t="shared" si="26"/>
        <v>0.55153743748457518</v>
      </c>
      <c r="P24" s="70">
        <f t="shared" si="26"/>
        <v>0.45715046506786045</v>
      </c>
      <c r="Q24" s="70">
        <f t="shared" si="26"/>
        <v>0.32752863310414843</v>
      </c>
      <c r="R24" s="70">
        <f t="shared" si="26"/>
        <v>0.26870513592416073</v>
      </c>
      <c r="S24" s="70">
        <f t="shared" si="26"/>
        <v>0.36070212249033445</v>
      </c>
      <c r="T24" s="70">
        <f t="shared" si="26"/>
        <v>0.31586924973279829</v>
      </c>
      <c r="U24" s="70">
        <f t="shared" si="26"/>
        <v>0.4993140500210273</v>
      </c>
      <c r="V24" s="70">
        <f t="shared" si="26"/>
        <v>0.24265403464475105</v>
      </c>
      <c r="W24" s="70">
        <f t="shared" si="26"/>
        <v>0.49731992118947732</v>
      </c>
      <c r="X24" s="70">
        <f t="shared" si="26"/>
        <v>0.27917759697370015</v>
      </c>
      <c r="Y24" s="70">
        <f t="shared" si="26"/>
        <v>0.62769522807363798</v>
      </c>
      <c r="Z24" s="70">
        <f t="shared" si="26"/>
        <v>0.11140221762697372</v>
      </c>
      <c r="AA24" s="70">
        <f t="shared" si="26"/>
        <v>0.16181554621892791</v>
      </c>
      <c r="AB24" s="70">
        <f t="shared" si="26"/>
        <v>0.1103288033303316</v>
      </c>
    </row>
    <row r="25" spans="1:28">
      <c r="A25" s="5" t="s">
        <v>73</v>
      </c>
      <c r="B25" s="73">
        <f>B14-B16</f>
        <v>649.83853568034124</v>
      </c>
      <c r="C25" s="73">
        <f t="shared" ref="C25:AB25" si="27">C14-C16</f>
        <v>835.87074393392913</v>
      </c>
      <c r="D25" s="73">
        <f t="shared" si="27"/>
        <v>982.32060224939869</v>
      </c>
      <c r="E25" s="73">
        <f t="shared" si="27"/>
        <v>32.899527142663743</v>
      </c>
      <c r="F25" s="73">
        <f t="shared" si="27"/>
        <v>32.899527142663729</v>
      </c>
      <c r="G25" s="73">
        <f t="shared" si="27"/>
        <v>32.899527142663743</v>
      </c>
      <c r="H25" s="73">
        <f t="shared" si="27"/>
        <v>12.088058141755738</v>
      </c>
      <c r="I25" s="73">
        <f t="shared" si="27"/>
        <v>12.088058141755738</v>
      </c>
      <c r="J25" s="73">
        <f t="shared" si="27"/>
        <v>20.146763569592892</v>
      </c>
      <c r="K25" s="73">
        <f t="shared" si="27"/>
        <v>12.088058141755738</v>
      </c>
      <c r="L25" s="73">
        <f t="shared" si="27"/>
        <v>20.146763569592892</v>
      </c>
      <c r="M25" s="73">
        <f t="shared" si="27"/>
        <v>20.146763569592892</v>
      </c>
      <c r="N25" s="73">
        <f t="shared" si="27"/>
        <v>32.899527142663743</v>
      </c>
      <c r="O25" s="73">
        <f t="shared" si="27"/>
        <v>46.059337999729223</v>
      </c>
      <c r="P25" s="73">
        <f t="shared" si="27"/>
        <v>42.769385285462874</v>
      </c>
      <c r="Q25" s="73">
        <f t="shared" si="27"/>
        <v>20.146763569592892</v>
      </c>
      <c r="R25" s="73">
        <f t="shared" si="27"/>
        <v>20.146763569592892</v>
      </c>
      <c r="S25" s="73">
        <f t="shared" si="27"/>
        <v>20.146763569592899</v>
      </c>
      <c r="T25" s="73">
        <f t="shared" si="27"/>
        <v>20.146763569592892</v>
      </c>
      <c r="U25" s="73">
        <f t="shared" si="27"/>
        <v>68.498996136615844</v>
      </c>
      <c r="V25" s="73">
        <f t="shared" si="27"/>
        <v>20.146763569592892</v>
      </c>
      <c r="W25" s="73">
        <f t="shared" si="27"/>
        <v>20.22719009125359</v>
      </c>
      <c r="X25" s="73">
        <f t="shared" si="27"/>
        <v>67.423966970845342</v>
      </c>
      <c r="Y25" s="73">
        <f t="shared" si="27"/>
        <v>67.423966970845356</v>
      </c>
      <c r="Z25" s="73">
        <f t="shared" si="27"/>
        <v>33.711983485422678</v>
      </c>
      <c r="AA25" s="73">
        <f t="shared" si="27"/>
        <v>33.711983485422678</v>
      </c>
      <c r="AB25" s="73">
        <f t="shared" si="27"/>
        <v>33.711983485422678</v>
      </c>
    </row>
    <row r="26" spans="1:28">
      <c r="A26" s="5" t="s">
        <v>104</v>
      </c>
      <c r="B26" s="25">
        <f>MOD(SUM(B24:AB24),1)</f>
        <v>0.99999958767568131</v>
      </c>
    </row>
    <row r="27" spans="1:28">
      <c r="A27" s="5" t="s">
        <v>105</v>
      </c>
      <c r="B27" s="25">
        <f>ROUNDUP(SUM(B24:AB24),0)</f>
        <v>35</v>
      </c>
    </row>
    <row r="28" spans="1:28">
      <c r="A28" s="5" t="s">
        <v>106</v>
      </c>
      <c r="B28" s="85">
        <f>IF(B27=0,0,C2)+B27*G2+SUM(B23:AB23*B12:AB12)</f>
        <v>149019.73730825476</v>
      </c>
    </row>
    <row r="40" spans="2:8">
      <c r="B40" s="1"/>
      <c r="C40" s="1"/>
      <c r="D40" s="2"/>
      <c r="E40" s="1"/>
      <c r="F40" s="1"/>
      <c r="G40" s="1"/>
      <c r="H40" s="1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axTruck">
                <anchor moveWithCells="1" sizeWithCells="1">
                  <from>
                    <xdr:col>0</xdr:col>
                    <xdr:colOff>137160</xdr:colOff>
                    <xdr:row>0</xdr:row>
                    <xdr:rowOff>99060</xdr:rowOff>
                  </from>
                  <to>
                    <xdr:col>1</xdr:col>
                    <xdr:colOff>464820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7"/>
  <dimension ref="A1:AO524"/>
  <sheetViews>
    <sheetView topLeftCell="A99" zoomScale="110" zoomScaleNormal="110" workbookViewId="0">
      <selection activeCell="Q122" sqref="Q122"/>
    </sheetView>
  </sheetViews>
  <sheetFormatPr defaultRowHeight="14.4" outlineLevelCol="1"/>
  <cols>
    <col min="1" max="1" width="10.5546875" style="7" bestFit="1" customWidth="1"/>
    <col min="2" max="2" width="9.5546875" style="8" customWidth="1"/>
    <col min="3" max="3" width="9.88671875" style="8" customWidth="1"/>
    <col min="4" max="20" width="8.6640625" style="8" customWidth="1"/>
    <col min="21" max="21" width="9.5546875" style="8" bestFit="1" customWidth="1"/>
    <col min="22" max="22" width="8.6640625" style="8" customWidth="1"/>
    <col min="23" max="23" width="11.88671875" style="8" bestFit="1" customWidth="1"/>
    <col min="24" max="29" width="8.6640625" style="8" customWidth="1"/>
    <col min="36" max="36" width="15.6640625" style="8" bestFit="1" customWidth="1" outlineLevel="1"/>
    <col min="37" max="37" width="7.5546875" style="8" bestFit="1" customWidth="1" outlineLevel="1"/>
    <col min="38" max="38" width="9" style="8" bestFit="1" customWidth="1" outlineLevel="1"/>
    <col min="39" max="39" width="10" style="8" bestFit="1" customWidth="1" outlineLevel="1"/>
    <col min="40" max="41" width="8.5546875" style="8" bestFit="1" customWidth="1" outlineLevel="1"/>
    <col min="42" max="256" width="9.109375" style="8"/>
    <col min="257" max="257" width="10.5546875" style="8" bestFit="1" customWidth="1"/>
    <col min="258" max="258" width="9.5546875" style="8" customWidth="1"/>
    <col min="259" max="259" width="9.88671875" style="8" customWidth="1"/>
    <col min="260" max="270" width="8.6640625" style="8" customWidth="1"/>
    <col min="271" max="271" width="0" style="8" hidden="1" customWidth="1"/>
    <col min="272" max="277" width="8.6640625" style="8" customWidth="1"/>
    <col min="278" max="278" width="9.5546875" style="8" bestFit="1" customWidth="1"/>
    <col min="279" max="280" width="8.6640625" style="8" customWidth="1"/>
    <col min="281" max="285" width="0" style="8" hidden="1" customWidth="1"/>
    <col min="286" max="291" width="8.6640625" style="8" customWidth="1"/>
    <col min="292" max="512" width="9.109375" style="8"/>
    <col min="513" max="513" width="10.5546875" style="8" bestFit="1" customWidth="1"/>
    <col min="514" max="514" width="9.5546875" style="8" customWidth="1"/>
    <col min="515" max="515" width="9.88671875" style="8" customWidth="1"/>
    <col min="516" max="526" width="8.6640625" style="8" customWidth="1"/>
    <col min="527" max="527" width="0" style="8" hidden="1" customWidth="1"/>
    <col min="528" max="533" width="8.6640625" style="8" customWidth="1"/>
    <col min="534" max="534" width="9.5546875" style="8" bestFit="1" customWidth="1"/>
    <col min="535" max="536" width="8.6640625" style="8" customWidth="1"/>
    <col min="537" max="541" width="0" style="8" hidden="1" customWidth="1"/>
    <col min="542" max="547" width="8.6640625" style="8" customWidth="1"/>
    <col min="548" max="768" width="9.109375" style="8"/>
    <col min="769" max="769" width="10.5546875" style="8" bestFit="1" customWidth="1"/>
    <col min="770" max="770" width="9.5546875" style="8" customWidth="1"/>
    <col min="771" max="771" width="9.88671875" style="8" customWidth="1"/>
    <col min="772" max="782" width="8.6640625" style="8" customWidth="1"/>
    <col min="783" max="783" width="0" style="8" hidden="1" customWidth="1"/>
    <col min="784" max="789" width="8.6640625" style="8" customWidth="1"/>
    <col min="790" max="790" width="9.5546875" style="8" bestFit="1" customWidth="1"/>
    <col min="791" max="792" width="8.6640625" style="8" customWidth="1"/>
    <col min="793" max="797" width="0" style="8" hidden="1" customWidth="1"/>
    <col min="798" max="803" width="8.6640625" style="8" customWidth="1"/>
    <col min="804" max="1024" width="9.109375" style="8"/>
    <col min="1025" max="1025" width="10.5546875" style="8" bestFit="1" customWidth="1"/>
    <col min="1026" max="1026" width="9.5546875" style="8" customWidth="1"/>
    <col min="1027" max="1027" width="9.88671875" style="8" customWidth="1"/>
    <col min="1028" max="1038" width="8.6640625" style="8" customWidth="1"/>
    <col min="1039" max="1039" width="0" style="8" hidden="1" customWidth="1"/>
    <col min="1040" max="1045" width="8.6640625" style="8" customWidth="1"/>
    <col min="1046" max="1046" width="9.5546875" style="8" bestFit="1" customWidth="1"/>
    <col min="1047" max="1048" width="8.6640625" style="8" customWidth="1"/>
    <col min="1049" max="1053" width="0" style="8" hidden="1" customWidth="1"/>
    <col min="1054" max="1059" width="8.6640625" style="8" customWidth="1"/>
    <col min="1060" max="1280" width="9.109375" style="8"/>
    <col min="1281" max="1281" width="10.5546875" style="8" bestFit="1" customWidth="1"/>
    <col min="1282" max="1282" width="9.5546875" style="8" customWidth="1"/>
    <col min="1283" max="1283" width="9.88671875" style="8" customWidth="1"/>
    <col min="1284" max="1294" width="8.6640625" style="8" customWidth="1"/>
    <col min="1295" max="1295" width="0" style="8" hidden="1" customWidth="1"/>
    <col min="1296" max="1301" width="8.6640625" style="8" customWidth="1"/>
    <col min="1302" max="1302" width="9.5546875" style="8" bestFit="1" customWidth="1"/>
    <col min="1303" max="1304" width="8.6640625" style="8" customWidth="1"/>
    <col min="1305" max="1309" width="0" style="8" hidden="1" customWidth="1"/>
    <col min="1310" max="1315" width="8.6640625" style="8" customWidth="1"/>
    <col min="1316" max="1536" width="9.109375" style="8"/>
    <col min="1537" max="1537" width="10.5546875" style="8" bestFit="1" customWidth="1"/>
    <col min="1538" max="1538" width="9.5546875" style="8" customWidth="1"/>
    <col min="1539" max="1539" width="9.88671875" style="8" customWidth="1"/>
    <col min="1540" max="1550" width="8.6640625" style="8" customWidth="1"/>
    <col min="1551" max="1551" width="0" style="8" hidden="1" customWidth="1"/>
    <col min="1552" max="1557" width="8.6640625" style="8" customWidth="1"/>
    <col min="1558" max="1558" width="9.5546875" style="8" bestFit="1" customWidth="1"/>
    <col min="1559" max="1560" width="8.6640625" style="8" customWidth="1"/>
    <col min="1561" max="1565" width="0" style="8" hidden="1" customWidth="1"/>
    <col min="1566" max="1571" width="8.6640625" style="8" customWidth="1"/>
    <col min="1572" max="1792" width="9.109375" style="8"/>
    <col min="1793" max="1793" width="10.5546875" style="8" bestFit="1" customWidth="1"/>
    <col min="1794" max="1794" width="9.5546875" style="8" customWidth="1"/>
    <col min="1795" max="1795" width="9.88671875" style="8" customWidth="1"/>
    <col min="1796" max="1806" width="8.6640625" style="8" customWidth="1"/>
    <col min="1807" max="1807" width="0" style="8" hidden="1" customWidth="1"/>
    <col min="1808" max="1813" width="8.6640625" style="8" customWidth="1"/>
    <col min="1814" max="1814" width="9.5546875" style="8" bestFit="1" customWidth="1"/>
    <col min="1815" max="1816" width="8.6640625" style="8" customWidth="1"/>
    <col min="1817" max="1821" width="0" style="8" hidden="1" customWidth="1"/>
    <col min="1822" max="1827" width="8.6640625" style="8" customWidth="1"/>
    <col min="1828" max="2048" width="9.109375" style="8"/>
    <col min="2049" max="2049" width="10.5546875" style="8" bestFit="1" customWidth="1"/>
    <col min="2050" max="2050" width="9.5546875" style="8" customWidth="1"/>
    <col min="2051" max="2051" width="9.88671875" style="8" customWidth="1"/>
    <col min="2052" max="2062" width="8.6640625" style="8" customWidth="1"/>
    <col min="2063" max="2063" width="0" style="8" hidden="1" customWidth="1"/>
    <col min="2064" max="2069" width="8.6640625" style="8" customWidth="1"/>
    <col min="2070" max="2070" width="9.5546875" style="8" bestFit="1" customWidth="1"/>
    <col min="2071" max="2072" width="8.6640625" style="8" customWidth="1"/>
    <col min="2073" max="2077" width="0" style="8" hidden="1" customWidth="1"/>
    <col min="2078" max="2083" width="8.6640625" style="8" customWidth="1"/>
    <col min="2084" max="2304" width="9.109375" style="8"/>
    <col min="2305" max="2305" width="10.5546875" style="8" bestFit="1" customWidth="1"/>
    <col min="2306" max="2306" width="9.5546875" style="8" customWidth="1"/>
    <col min="2307" max="2307" width="9.88671875" style="8" customWidth="1"/>
    <col min="2308" max="2318" width="8.6640625" style="8" customWidth="1"/>
    <col min="2319" max="2319" width="0" style="8" hidden="1" customWidth="1"/>
    <col min="2320" max="2325" width="8.6640625" style="8" customWidth="1"/>
    <col min="2326" max="2326" width="9.5546875" style="8" bestFit="1" customWidth="1"/>
    <col min="2327" max="2328" width="8.6640625" style="8" customWidth="1"/>
    <col min="2329" max="2333" width="0" style="8" hidden="1" customWidth="1"/>
    <col min="2334" max="2339" width="8.6640625" style="8" customWidth="1"/>
    <col min="2340" max="2560" width="9.109375" style="8"/>
    <col min="2561" max="2561" width="10.5546875" style="8" bestFit="1" customWidth="1"/>
    <col min="2562" max="2562" width="9.5546875" style="8" customWidth="1"/>
    <col min="2563" max="2563" width="9.88671875" style="8" customWidth="1"/>
    <col min="2564" max="2574" width="8.6640625" style="8" customWidth="1"/>
    <col min="2575" max="2575" width="0" style="8" hidden="1" customWidth="1"/>
    <col min="2576" max="2581" width="8.6640625" style="8" customWidth="1"/>
    <col min="2582" max="2582" width="9.5546875" style="8" bestFit="1" customWidth="1"/>
    <col min="2583" max="2584" width="8.6640625" style="8" customWidth="1"/>
    <col min="2585" max="2589" width="0" style="8" hidden="1" customWidth="1"/>
    <col min="2590" max="2595" width="8.6640625" style="8" customWidth="1"/>
    <col min="2596" max="2816" width="9.109375" style="8"/>
    <col min="2817" max="2817" width="10.5546875" style="8" bestFit="1" customWidth="1"/>
    <col min="2818" max="2818" width="9.5546875" style="8" customWidth="1"/>
    <col min="2819" max="2819" width="9.88671875" style="8" customWidth="1"/>
    <col min="2820" max="2830" width="8.6640625" style="8" customWidth="1"/>
    <col min="2831" max="2831" width="0" style="8" hidden="1" customWidth="1"/>
    <col min="2832" max="2837" width="8.6640625" style="8" customWidth="1"/>
    <col min="2838" max="2838" width="9.5546875" style="8" bestFit="1" customWidth="1"/>
    <col min="2839" max="2840" width="8.6640625" style="8" customWidth="1"/>
    <col min="2841" max="2845" width="0" style="8" hidden="1" customWidth="1"/>
    <col min="2846" max="2851" width="8.6640625" style="8" customWidth="1"/>
    <col min="2852" max="3072" width="9.109375" style="8"/>
    <col min="3073" max="3073" width="10.5546875" style="8" bestFit="1" customWidth="1"/>
    <col min="3074" max="3074" width="9.5546875" style="8" customWidth="1"/>
    <col min="3075" max="3075" width="9.88671875" style="8" customWidth="1"/>
    <col min="3076" max="3086" width="8.6640625" style="8" customWidth="1"/>
    <col min="3087" max="3087" width="0" style="8" hidden="1" customWidth="1"/>
    <col min="3088" max="3093" width="8.6640625" style="8" customWidth="1"/>
    <col min="3094" max="3094" width="9.5546875" style="8" bestFit="1" customWidth="1"/>
    <col min="3095" max="3096" width="8.6640625" style="8" customWidth="1"/>
    <col min="3097" max="3101" width="0" style="8" hidden="1" customWidth="1"/>
    <col min="3102" max="3107" width="8.6640625" style="8" customWidth="1"/>
    <col min="3108" max="3328" width="9.109375" style="8"/>
    <col min="3329" max="3329" width="10.5546875" style="8" bestFit="1" customWidth="1"/>
    <col min="3330" max="3330" width="9.5546875" style="8" customWidth="1"/>
    <col min="3331" max="3331" width="9.88671875" style="8" customWidth="1"/>
    <col min="3332" max="3342" width="8.6640625" style="8" customWidth="1"/>
    <col min="3343" max="3343" width="0" style="8" hidden="1" customWidth="1"/>
    <col min="3344" max="3349" width="8.6640625" style="8" customWidth="1"/>
    <col min="3350" max="3350" width="9.5546875" style="8" bestFit="1" customWidth="1"/>
    <col min="3351" max="3352" width="8.6640625" style="8" customWidth="1"/>
    <col min="3353" max="3357" width="0" style="8" hidden="1" customWidth="1"/>
    <col min="3358" max="3363" width="8.6640625" style="8" customWidth="1"/>
    <col min="3364" max="3584" width="9.109375" style="8"/>
    <col min="3585" max="3585" width="10.5546875" style="8" bestFit="1" customWidth="1"/>
    <col min="3586" max="3586" width="9.5546875" style="8" customWidth="1"/>
    <col min="3587" max="3587" width="9.88671875" style="8" customWidth="1"/>
    <col min="3588" max="3598" width="8.6640625" style="8" customWidth="1"/>
    <col min="3599" max="3599" width="0" style="8" hidden="1" customWidth="1"/>
    <col min="3600" max="3605" width="8.6640625" style="8" customWidth="1"/>
    <col min="3606" max="3606" width="9.5546875" style="8" bestFit="1" customWidth="1"/>
    <col min="3607" max="3608" width="8.6640625" style="8" customWidth="1"/>
    <col min="3609" max="3613" width="0" style="8" hidden="1" customWidth="1"/>
    <col min="3614" max="3619" width="8.6640625" style="8" customWidth="1"/>
    <col min="3620" max="3840" width="9.109375" style="8"/>
    <col min="3841" max="3841" width="10.5546875" style="8" bestFit="1" customWidth="1"/>
    <col min="3842" max="3842" width="9.5546875" style="8" customWidth="1"/>
    <col min="3843" max="3843" width="9.88671875" style="8" customWidth="1"/>
    <col min="3844" max="3854" width="8.6640625" style="8" customWidth="1"/>
    <col min="3855" max="3855" width="0" style="8" hidden="1" customWidth="1"/>
    <col min="3856" max="3861" width="8.6640625" style="8" customWidth="1"/>
    <col min="3862" max="3862" width="9.5546875" style="8" bestFit="1" customWidth="1"/>
    <col min="3863" max="3864" width="8.6640625" style="8" customWidth="1"/>
    <col min="3865" max="3869" width="0" style="8" hidden="1" customWidth="1"/>
    <col min="3870" max="3875" width="8.6640625" style="8" customWidth="1"/>
    <col min="3876" max="4096" width="9.109375" style="8"/>
    <col min="4097" max="4097" width="10.5546875" style="8" bestFit="1" customWidth="1"/>
    <col min="4098" max="4098" width="9.5546875" style="8" customWidth="1"/>
    <col min="4099" max="4099" width="9.88671875" style="8" customWidth="1"/>
    <col min="4100" max="4110" width="8.6640625" style="8" customWidth="1"/>
    <col min="4111" max="4111" width="0" style="8" hidden="1" customWidth="1"/>
    <col min="4112" max="4117" width="8.6640625" style="8" customWidth="1"/>
    <col min="4118" max="4118" width="9.5546875" style="8" bestFit="1" customWidth="1"/>
    <col min="4119" max="4120" width="8.6640625" style="8" customWidth="1"/>
    <col min="4121" max="4125" width="0" style="8" hidden="1" customWidth="1"/>
    <col min="4126" max="4131" width="8.6640625" style="8" customWidth="1"/>
    <col min="4132" max="4352" width="9.109375" style="8"/>
    <col min="4353" max="4353" width="10.5546875" style="8" bestFit="1" customWidth="1"/>
    <col min="4354" max="4354" width="9.5546875" style="8" customWidth="1"/>
    <col min="4355" max="4355" width="9.88671875" style="8" customWidth="1"/>
    <col min="4356" max="4366" width="8.6640625" style="8" customWidth="1"/>
    <col min="4367" max="4367" width="0" style="8" hidden="1" customWidth="1"/>
    <col min="4368" max="4373" width="8.6640625" style="8" customWidth="1"/>
    <col min="4374" max="4374" width="9.5546875" style="8" bestFit="1" customWidth="1"/>
    <col min="4375" max="4376" width="8.6640625" style="8" customWidth="1"/>
    <col min="4377" max="4381" width="0" style="8" hidden="1" customWidth="1"/>
    <col min="4382" max="4387" width="8.6640625" style="8" customWidth="1"/>
    <col min="4388" max="4608" width="9.109375" style="8"/>
    <col min="4609" max="4609" width="10.5546875" style="8" bestFit="1" customWidth="1"/>
    <col min="4610" max="4610" width="9.5546875" style="8" customWidth="1"/>
    <col min="4611" max="4611" width="9.88671875" style="8" customWidth="1"/>
    <col min="4612" max="4622" width="8.6640625" style="8" customWidth="1"/>
    <col min="4623" max="4623" width="0" style="8" hidden="1" customWidth="1"/>
    <col min="4624" max="4629" width="8.6640625" style="8" customWidth="1"/>
    <col min="4630" max="4630" width="9.5546875" style="8" bestFit="1" customWidth="1"/>
    <col min="4631" max="4632" width="8.6640625" style="8" customWidth="1"/>
    <col min="4633" max="4637" width="0" style="8" hidden="1" customWidth="1"/>
    <col min="4638" max="4643" width="8.6640625" style="8" customWidth="1"/>
    <col min="4644" max="4864" width="9.109375" style="8"/>
    <col min="4865" max="4865" width="10.5546875" style="8" bestFit="1" customWidth="1"/>
    <col min="4866" max="4866" width="9.5546875" style="8" customWidth="1"/>
    <col min="4867" max="4867" width="9.88671875" style="8" customWidth="1"/>
    <col min="4868" max="4878" width="8.6640625" style="8" customWidth="1"/>
    <col min="4879" max="4879" width="0" style="8" hidden="1" customWidth="1"/>
    <col min="4880" max="4885" width="8.6640625" style="8" customWidth="1"/>
    <col min="4886" max="4886" width="9.5546875" style="8" bestFit="1" customWidth="1"/>
    <col min="4887" max="4888" width="8.6640625" style="8" customWidth="1"/>
    <col min="4889" max="4893" width="0" style="8" hidden="1" customWidth="1"/>
    <col min="4894" max="4899" width="8.6640625" style="8" customWidth="1"/>
    <col min="4900" max="5120" width="9.109375" style="8"/>
    <col min="5121" max="5121" width="10.5546875" style="8" bestFit="1" customWidth="1"/>
    <col min="5122" max="5122" width="9.5546875" style="8" customWidth="1"/>
    <col min="5123" max="5123" width="9.88671875" style="8" customWidth="1"/>
    <col min="5124" max="5134" width="8.6640625" style="8" customWidth="1"/>
    <col min="5135" max="5135" width="0" style="8" hidden="1" customWidth="1"/>
    <col min="5136" max="5141" width="8.6640625" style="8" customWidth="1"/>
    <col min="5142" max="5142" width="9.5546875" style="8" bestFit="1" customWidth="1"/>
    <col min="5143" max="5144" width="8.6640625" style="8" customWidth="1"/>
    <col min="5145" max="5149" width="0" style="8" hidden="1" customWidth="1"/>
    <col min="5150" max="5155" width="8.6640625" style="8" customWidth="1"/>
    <col min="5156" max="5376" width="9.109375" style="8"/>
    <col min="5377" max="5377" width="10.5546875" style="8" bestFit="1" customWidth="1"/>
    <col min="5378" max="5378" width="9.5546875" style="8" customWidth="1"/>
    <col min="5379" max="5379" width="9.88671875" style="8" customWidth="1"/>
    <col min="5380" max="5390" width="8.6640625" style="8" customWidth="1"/>
    <col min="5391" max="5391" width="0" style="8" hidden="1" customWidth="1"/>
    <col min="5392" max="5397" width="8.6640625" style="8" customWidth="1"/>
    <col min="5398" max="5398" width="9.5546875" style="8" bestFit="1" customWidth="1"/>
    <col min="5399" max="5400" width="8.6640625" style="8" customWidth="1"/>
    <col min="5401" max="5405" width="0" style="8" hidden="1" customWidth="1"/>
    <col min="5406" max="5411" width="8.6640625" style="8" customWidth="1"/>
    <col min="5412" max="5632" width="9.109375" style="8"/>
    <col min="5633" max="5633" width="10.5546875" style="8" bestFit="1" customWidth="1"/>
    <col min="5634" max="5634" width="9.5546875" style="8" customWidth="1"/>
    <col min="5635" max="5635" width="9.88671875" style="8" customWidth="1"/>
    <col min="5636" max="5646" width="8.6640625" style="8" customWidth="1"/>
    <col min="5647" max="5647" width="0" style="8" hidden="1" customWidth="1"/>
    <col min="5648" max="5653" width="8.6640625" style="8" customWidth="1"/>
    <col min="5654" max="5654" width="9.5546875" style="8" bestFit="1" customWidth="1"/>
    <col min="5655" max="5656" width="8.6640625" style="8" customWidth="1"/>
    <col min="5657" max="5661" width="0" style="8" hidden="1" customWidth="1"/>
    <col min="5662" max="5667" width="8.6640625" style="8" customWidth="1"/>
    <col min="5668" max="5888" width="9.109375" style="8"/>
    <col min="5889" max="5889" width="10.5546875" style="8" bestFit="1" customWidth="1"/>
    <col min="5890" max="5890" width="9.5546875" style="8" customWidth="1"/>
    <col min="5891" max="5891" width="9.88671875" style="8" customWidth="1"/>
    <col min="5892" max="5902" width="8.6640625" style="8" customWidth="1"/>
    <col min="5903" max="5903" width="0" style="8" hidden="1" customWidth="1"/>
    <col min="5904" max="5909" width="8.6640625" style="8" customWidth="1"/>
    <col min="5910" max="5910" width="9.5546875" style="8" bestFit="1" customWidth="1"/>
    <col min="5911" max="5912" width="8.6640625" style="8" customWidth="1"/>
    <col min="5913" max="5917" width="0" style="8" hidden="1" customWidth="1"/>
    <col min="5918" max="5923" width="8.6640625" style="8" customWidth="1"/>
    <col min="5924" max="6144" width="9.109375" style="8"/>
    <col min="6145" max="6145" width="10.5546875" style="8" bestFit="1" customWidth="1"/>
    <col min="6146" max="6146" width="9.5546875" style="8" customWidth="1"/>
    <col min="6147" max="6147" width="9.88671875" style="8" customWidth="1"/>
    <col min="6148" max="6158" width="8.6640625" style="8" customWidth="1"/>
    <col min="6159" max="6159" width="0" style="8" hidden="1" customWidth="1"/>
    <col min="6160" max="6165" width="8.6640625" style="8" customWidth="1"/>
    <col min="6166" max="6166" width="9.5546875" style="8" bestFit="1" customWidth="1"/>
    <col min="6167" max="6168" width="8.6640625" style="8" customWidth="1"/>
    <col min="6169" max="6173" width="0" style="8" hidden="1" customWidth="1"/>
    <col min="6174" max="6179" width="8.6640625" style="8" customWidth="1"/>
    <col min="6180" max="6400" width="9.109375" style="8"/>
    <col min="6401" max="6401" width="10.5546875" style="8" bestFit="1" customWidth="1"/>
    <col min="6402" max="6402" width="9.5546875" style="8" customWidth="1"/>
    <col min="6403" max="6403" width="9.88671875" style="8" customWidth="1"/>
    <col min="6404" max="6414" width="8.6640625" style="8" customWidth="1"/>
    <col min="6415" max="6415" width="0" style="8" hidden="1" customWidth="1"/>
    <col min="6416" max="6421" width="8.6640625" style="8" customWidth="1"/>
    <col min="6422" max="6422" width="9.5546875" style="8" bestFit="1" customWidth="1"/>
    <col min="6423" max="6424" width="8.6640625" style="8" customWidth="1"/>
    <col min="6425" max="6429" width="0" style="8" hidden="1" customWidth="1"/>
    <col min="6430" max="6435" width="8.6640625" style="8" customWidth="1"/>
    <col min="6436" max="6656" width="9.109375" style="8"/>
    <col min="6657" max="6657" width="10.5546875" style="8" bestFit="1" customWidth="1"/>
    <col min="6658" max="6658" width="9.5546875" style="8" customWidth="1"/>
    <col min="6659" max="6659" width="9.88671875" style="8" customWidth="1"/>
    <col min="6660" max="6670" width="8.6640625" style="8" customWidth="1"/>
    <col min="6671" max="6671" width="0" style="8" hidden="1" customWidth="1"/>
    <col min="6672" max="6677" width="8.6640625" style="8" customWidth="1"/>
    <col min="6678" max="6678" width="9.5546875" style="8" bestFit="1" customWidth="1"/>
    <col min="6679" max="6680" width="8.6640625" style="8" customWidth="1"/>
    <col min="6681" max="6685" width="0" style="8" hidden="1" customWidth="1"/>
    <col min="6686" max="6691" width="8.6640625" style="8" customWidth="1"/>
    <col min="6692" max="6912" width="9.109375" style="8"/>
    <col min="6913" max="6913" width="10.5546875" style="8" bestFit="1" customWidth="1"/>
    <col min="6914" max="6914" width="9.5546875" style="8" customWidth="1"/>
    <col min="6915" max="6915" width="9.88671875" style="8" customWidth="1"/>
    <col min="6916" max="6926" width="8.6640625" style="8" customWidth="1"/>
    <col min="6927" max="6927" width="0" style="8" hidden="1" customWidth="1"/>
    <col min="6928" max="6933" width="8.6640625" style="8" customWidth="1"/>
    <col min="6934" max="6934" width="9.5546875" style="8" bestFit="1" customWidth="1"/>
    <col min="6935" max="6936" width="8.6640625" style="8" customWidth="1"/>
    <col min="6937" max="6941" width="0" style="8" hidden="1" customWidth="1"/>
    <col min="6942" max="6947" width="8.6640625" style="8" customWidth="1"/>
    <col min="6948" max="7168" width="9.109375" style="8"/>
    <col min="7169" max="7169" width="10.5546875" style="8" bestFit="1" customWidth="1"/>
    <col min="7170" max="7170" width="9.5546875" style="8" customWidth="1"/>
    <col min="7171" max="7171" width="9.88671875" style="8" customWidth="1"/>
    <col min="7172" max="7182" width="8.6640625" style="8" customWidth="1"/>
    <col min="7183" max="7183" width="0" style="8" hidden="1" customWidth="1"/>
    <col min="7184" max="7189" width="8.6640625" style="8" customWidth="1"/>
    <col min="7190" max="7190" width="9.5546875" style="8" bestFit="1" customWidth="1"/>
    <col min="7191" max="7192" width="8.6640625" style="8" customWidth="1"/>
    <col min="7193" max="7197" width="0" style="8" hidden="1" customWidth="1"/>
    <col min="7198" max="7203" width="8.6640625" style="8" customWidth="1"/>
    <col min="7204" max="7424" width="9.109375" style="8"/>
    <col min="7425" max="7425" width="10.5546875" style="8" bestFit="1" customWidth="1"/>
    <col min="7426" max="7426" width="9.5546875" style="8" customWidth="1"/>
    <col min="7427" max="7427" width="9.88671875" style="8" customWidth="1"/>
    <col min="7428" max="7438" width="8.6640625" style="8" customWidth="1"/>
    <col min="7439" max="7439" width="0" style="8" hidden="1" customWidth="1"/>
    <col min="7440" max="7445" width="8.6640625" style="8" customWidth="1"/>
    <col min="7446" max="7446" width="9.5546875" style="8" bestFit="1" customWidth="1"/>
    <col min="7447" max="7448" width="8.6640625" style="8" customWidth="1"/>
    <col min="7449" max="7453" width="0" style="8" hidden="1" customWidth="1"/>
    <col min="7454" max="7459" width="8.6640625" style="8" customWidth="1"/>
    <col min="7460" max="7680" width="9.109375" style="8"/>
    <col min="7681" max="7681" width="10.5546875" style="8" bestFit="1" customWidth="1"/>
    <col min="7682" max="7682" width="9.5546875" style="8" customWidth="1"/>
    <col min="7683" max="7683" width="9.88671875" style="8" customWidth="1"/>
    <col min="7684" max="7694" width="8.6640625" style="8" customWidth="1"/>
    <col min="7695" max="7695" width="0" style="8" hidden="1" customWidth="1"/>
    <col min="7696" max="7701" width="8.6640625" style="8" customWidth="1"/>
    <col min="7702" max="7702" width="9.5546875" style="8" bestFit="1" customWidth="1"/>
    <col min="7703" max="7704" width="8.6640625" style="8" customWidth="1"/>
    <col min="7705" max="7709" width="0" style="8" hidden="1" customWidth="1"/>
    <col min="7710" max="7715" width="8.6640625" style="8" customWidth="1"/>
    <col min="7716" max="7936" width="9.109375" style="8"/>
    <col min="7937" max="7937" width="10.5546875" style="8" bestFit="1" customWidth="1"/>
    <col min="7938" max="7938" width="9.5546875" style="8" customWidth="1"/>
    <col min="7939" max="7939" width="9.88671875" style="8" customWidth="1"/>
    <col min="7940" max="7950" width="8.6640625" style="8" customWidth="1"/>
    <col min="7951" max="7951" width="0" style="8" hidden="1" customWidth="1"/>
    <col min="7952" max="7957" width="8.6640625" style="8" customWidth="1"/>
    <col min="7958" max="7958" width="9.5546875" style="8" bestFit="1" customWidth="1"/>
    <col min="7959" max="7960" width="8.6640625" style="8" customWidth="1"/>
    <col min="7961" max="7965" width="0" style="8" hidden="1" customWidth="1"/>
    <col min="7966" max="7971" width="8.6640625" style="8" customWidth="1"/>
    <col min="7972" max="8192" width="9.109375" style="8"/>
    <col min="8193" max="8193" width="10.5546875" style="8" bestFit="1" customWidth="1"/>
    <col min="8194" max="8194" width="9.5546875" style="8" customWidth="1"/>
    <col min="8195" max="8195" width="9.88671875" style="8" customWidth="1"/>
    <col min="8196" max="8206" width="8.6640625" style="8" customWidth="1"/>
    <col min="8207" max="8207" width="0" style="8" hidden="1" customWidth="1"/>
    <col min="8208" max="8213" width="8.6640625" style="8" customWidth="1"/>
    <col min="8214" max="8214" width="9.5546875" style="8" bestFit="1" customWidth="1"/>
    <col min="8215" max="8216" width="8.6640625" style="8" customWidth="1"/>
    <col min="8217" max="8221" width="0" style="8" hidden="1" customWidth="1"/>
    <col min="8222" max="8227" width="8.6640625" style="8" customWidth="1"/>
    <col min="8228" max="8448" width="9.109375" style="8"/>
    <col min="8449" max="8449" width="10.5546875" style="8" bestFit="1" customWidth="1"/>
    <col min="8450" max="8450" width="9.5546875" style="8" customWidth="1"/>
    <col min="8451" max="8451" width="9.88671875" style="8" customWidth="1"/>
    <col min="8452" max="8462" width="8.6640625" style="8" customWidth="1"/>
    <col min="8463" max="8463" width="0" style="8" hidden="1" customWidth="1"/>
    <col min="8464" max="8469" width="8.6640625" style="8" customWidth="1"/>
    <col min="8470" max="8470" width="9.5546875" style="8" bestFit="1" customWidth="1"/>
    <col min="8471" max="8472" width="8.6640625" style="8" customWidth="1"/>
    <col min="8473" max="8477" width="0" style="8" hidden="1" customWidth="1"/>
    <col min="8478" max="8483" width="8.6640625" style="8" customWidth="1"/>
    <col min="8484" max="8704" width="9.109375" style="8"/>
    <col min="8705" max="8705" width="10.5546875" style="8" bestFit="1" customWidth="1"/>
    <col min="8706" max="8706" width="9.5546875" style="8" customWidth="1"/>
    <col min="8707" max="8707" width="9.88671875" style="8" customWidth="1"/>
    <col min="8708" max="8718" width="8.6640625" style="8" customWidth="1"/>
    <col min="8719" max="8719" width="0" style="8" hidden="1" customWidth="1"/>
    <col min="8720" max="8725" width="8.6640625" style="8" customWidth="1"/>
    <col min="8726" max="8726" width="9.5546875" style="8" bestFit="1" customWidth="1"/>
    <col min="8727" max="8728" width="8.6640625" style="8" customWidth="1"/>
    <col min="8729" max="8733" width="0" style="8" hidden="1" customWidth="1"/>
    <col min="8734" max="8739" width="8.6640625" style="8" customWidth="1"/>
    <col min="8740" max="8960" width="9.109375" style="8"/>
    <col min="8961" max="8961" width="10.5546875" style="8" bestFit="1" customWidth="1"/>
    <col min="8962" max="8962" width="9.5546875" style="8" customWidth="1"/>
    <col min="8963" max="8963" width="9.88671875" style="8" customWidth="1"/>
    <col min="8964" max="8974" width="8.6640625" style="8" customWidth="1"/>
    <col min="8975" max="8975" width="0" style="8" hidden="1" customWidth="1"/>
    <col min="8976" max="8981" width="8.6640625" style="8" customWidth="1"/>
    <col min="8982" max="8982" width="9.5546875" style="8" bestFit="1" customWidth="1"/>
    <col min="8983" max="8984" width="8.6640625" style="8" customWidth="1"/>
    <col min="8985" max="8989" width="0" style="8" hidden="1" customWidth="1"/>
    <col min="8990" max="8995" width="8.6640625" style="8" customWidth="1"/>
    <col min="8996" max="9216" width="9.109375" style="8"/>
    <col min="9217" max="9217" width="10.5546875" style="8" bestFit="1" customWidth="1"/>
    <col min="9218" max="9218" width="9.5546875" style="8" customWidth="1"/>
    <col min="9219" max="9219" width="9.88671875" style="8" customWidth="1"/>
    <col min="9220" max="9230" width="8.6640625" style="8" customWidth="1"/>
    <col min="9231" max="9231" width="0" style="8" hidden="1" customWidth="1"/>
    <col min="9232" max="9237" width="8.6640625" style="8" customWidth="1"/>
    <col min="9238" max="9238" width="9.5546875" style="8" bestFit="1" customWidth="1"/>
    <col min="9239" max="9240" width="8.6640625" style="8" customWidth="1"/>
    <col min="9241" max="9245" width="0" style="8" hidden="1" customWidth="1"/>
    <col min="9246" max="9251" width="8.6640625" style="8" customWidth="1"/>
    <col min="9252" max="9472" width="9.109375" style="8"/>
    <col min="9473" max="9473" width="10.5546875" style="8" bestFit="1" customWidth="1"/>
    <col min="9474" max="9474" width="9.5546875" style="8" customWidth="1"/>
    <col min="9475" max="9475" width="9.88671875" style="8" customWidth="1"/>
    <col min="9476" max="9486" width="8.6640625" style="8" customWidth="1"/>
    <col min="9487" max="9487" width="0" style="8" hidden="1" customWidth="1"/>
    <col min="9488" max="9493" width="8.6640625" style="8" customWidth="1"/>
    <col min="9494" max="9494" width="9.5546875" style="8" bestFit="1" customWidth="1"/>
    <col min="9495" max="9496" width="8.6640625" style="8" customWidth="1"/>
    <col min="9497" max="9501" width="0" style="8" hidden="1" customWidth="1"/>
    <col min="9502" max="9507" width="8.6640625" style="8" customWidth="1"/>
    <col min="9508" max="9728" width="9.109375" style="8"/>
    <col min="9729" max="9729" width="10.5546875" style="8" bestFit="1" customWidth="1"/>
    <col min="9730" max="9730" width="9.5546875" style="8" customWidth="1"/>
    <col min="9731" max="9731" width="9.88671875" style="8" customWidth="1"/>
    <col min="9732" max="9742" width="8.6640625" style="8" customWidth="1"/>
    <col min="9743" max="9743" width="0" style="8" hidden="1" customWidth="1"/>
    <col min="9744" max="9749" width="8.6640625" style="8" customWidth="1"/>
    <col min="9750" max="9750" width="9.5546875" style="8" bestFit="1" customWidth="1"/>
    <col min="9751" max="9752" width="8.6640625" style="8" customWidth="1"/>
    <col min="9753" max="9757" width="0" style="8" hidden="1" customWidth="1"/>
    <col min="9758" max="9763" width="8.6640625" style="8" customWidth="1"/>
    <col min="9764" max="9984" width="9.109375" style="8"/>
    <col min="9985" max="9985" width="10.5546875" style="8" bestFit="1" customWidth="1"/>
    <col min="9986" max="9986" width="9.5546875" style="8" customWidth="1"/>
    <col min="9987" max="9987" width="9.88671875" style="8" customWidth="1"/>
    <col min="9988" max="9998" width="8.6640625" style="8" customWidth="1"/>
    <col min="9999" max="9999" width="0" style="8" hidden="1" customWidth="1"/>
    <col min="10000" max="10005" width="8.6640625" style="8" customWidth="1"/>
    <col min="10006" max="10006" width="9.5546875" style="8" bestFit="1" customWidth="1"/>
    <col min="10007" max="10008" width="8.6640625" style="8" customWidth="1"/>
    <col min="10009" max="10013" width="0" style="8" hidden="1" customWidth="1"/>
    <col min="10014" max="10019" width="8.6640625" style="8" customWidth="1"/>
    <col min="10020" max="10240" width="9.109375" style="8"/>
    <col min="10241" max="10241" width="10.5546875" style="8" bestFit="1" customWidth="1"/>
    <col min="10242" max="10242" width="9.5546875" style="8" customWidth="1"/>
    <col min="10243" max="10243" width="9.88671875" style="8" customWidth="1"/>
    <col min="10244" max="10254" width="8.6640625" style="8" customWidth="1"/>
    <col min="10255" max="10255" width="0" style="8" hidden="1" customWidth="1"/>
    <col min="10256" max="10261" width="8.6640625" style="8" customWidth="1"/>
    <col min="10262" max="10262" width="9.5546875" style="8" bestFit="1" customWidth="1"/>
    <col min="10263" max="10264" width="8.6640625" style="8" customWidth="1"/>
    <col min="10265" max="10269" width="0" style="8" hidden="1" customWidth="1"/>
    <col min="10270" max="10275" width="8.6640625" style="8" customWidth="1"/>
    <col min="10276" max="10496" width="9.109375" style="8"/>
    <col min="10497" max="10497" width="10.5546875" style="8" bestFit="1" customWidth="1"/>
    <col min="10498" max="10498" width="9.5546875" style="8" customWidth="1"/>
    <col min="10499" max="10499" width="9.88671875" style="8" customWidth="1"/>
    <col min="10500" max="10510" width="8.6640625" style="8" customWidth="1"/>
    <col min="10511" max="10511" width="0" style="8" hidden="1" customWidth="1"/>
    <col min="10512" max="10517" width="8.6640625" style="8" customWidth="1"/>
    <col min="10518" max="10518" width="9.5546875" style="8" bestFit="1" customWidth="1"/>
    <col min="10519" max="10520" width="8.6640625" style="8" customWidth="1"/>
    <col min="10521" max="10525" width="0" style="8" hidden="1" customWidth="1"/>
    <col min="10526" max="10531" width="8.6640625" style="8" customWidth="1"/>
    <col min="10532" max="10752" width="9.109375" style="8"/>
    <col min="10753" max="10753" width="10.5546875" style="8" bestFit="1" customWidth="1"/>
    <col min="10754" max="10754" width="9.5546875" style="8" customWidth="1"/>
    <col min="10755" max="10755" width="9.88671875" style="8" customWidth="1"/>
    <col min="10756" max="10766" width="8.6640625" style="8" customWidth="1"/>
    <col min="10767" max="10767" width="0" style="8" hidden="1" customWidth="1"/>
    <col min="10768" max="10773" width="8.6640625" style="8" customWidth="1"/>
    <col min="10774" max="10774" width="9.5546875" style="8" bestFit="1" customWidth="1"/>
    <col min="10775" max="10776" width="8.6640625" style="8" customWidth="1"/>
    <col min="10777" max="10781" width="0" style="8" hidden="1" customWidth="1"/>
    <col min="10782" max="10787" width="8.6640625" style="8" customWidth="1"/>
    <col min="10788" max="11008" width="9.109375" style="8"/>
    <col min="11009" max="11009" width="10.5546875" style="8" bestFit="1" customWidth="1"/>
    <col min="11010" max="11010" width="9.5546875" style="8" customWidth="1"/>
    <col min="11011" max="11011" width="9.88671875" style="8" customWidth="1"/>
    <col min="11012" max="11022" width="8.6640625" style="8" customWidth="1"/>
    <col min="11023" max="11023" width="0" style="8" hidden="1" customWidth="1"/>
    <col min="11024" max="11029" width="8.6640625" style="8" customWidth="1"/>
    <col min="11030" max="11030" width="9.5546875" style="8" bestFit="1" customWidth="1"/>
    <col min="11031" max="11032" width="8.6640625" style="8" customWidth="1"/>
    <col min="11033" max="11037" width="0" style="8" hidden="1" customWidth="1"/>
    <col min="11038" max="11043" width="8.6640625" style="8" customWidth="1"/>
    <col min="11044" max="11264" width="9.109375" style="8"/>
    <col min="11265" max="11265" width="10.5546875" style="8" bestFit="1" customWidth="1"/>
    <col min="11266" max="11266" width="9.5546875" style="8" customWidth="1"/>
    <col min="11267" max="11267" width="9.88671875" style="8" customWidth="1"/>
    <col min="11268" max="11278" width="8.6640625" style="8" customWidth="1"/>
    <col min="11279" max="11279" width="0" style="8" hidden="1" customWidth="1"/>
    <col min="11280" max="11285" width="8.6640625" style="8" customWidth="1"/>
    <col min="11286" max="11286" width="9.5546875" style="8" bestFit="1" customWidth="1"/>
    <col min="11287" max="11288" width="8.6640625" style="8" customWidth="1"/>
    <col min="11289" max="11293" width="0" style="8" hidden="1" customWidth="1"/>
    <col min="11294" max="11299" width="8.6640625" style="8" customWidth="1"/>
    <col min="11300" max="11520" width="9.109375" style="8"/>
    <col min="11521" max="11521" width="10.5546875" style="8" bestFit="1" customWidth="1"/>
    <col min="11522" max="11522" width="9.5546875" style="8" customWidth="1"/>
    <col min="11523" max="11523" width="9.88671875" style="8" customWidth="1"/>
    <col min="11524" max="11534" width="8.6640625" style="8" customWidth="1"/>
    <col min="11535" max="11535" width="0" style="8" hidden="1" customWidth="1"/>
    <col min="11536" max="11541" width="8.6640625" style="8" customWidth="1"/>
    <col min="11542" max="11542" width="9.5546875" style="8" bestFit="1" customWidth="1"/>
    <col min="11543" max="11544" width="8.6640625" style="8" customWidth="1"/>
    <col min="11545" max="11549" width="0" style="8" hidden="1" customWidth="1"/>
    <col min="11550" max="11555" width="8.6640625" style="8" customWidth="1"/>
    <col min="11556" max="11776" width="9.109375" style="8"/>
    <col min="11777" max="11777" width="10.5546875" style="8" bestFit="1" customWidth="1"/>
    <col min="11778" max="11778" width="9.5546875" style="8" customWidth="1"/>
    <col min="11779" max="11779" width="9.88671875" style="8" customWidth="1"/>
    <col min="11780" max="11790" width="8.6640625" style="8" customWidth="1"/>
    <col min="11791" max="11791" width="0" style="8" hidden="1" customWidth="1"/>
    <col min="11792" max="11797" width="8.6640625" style="8" customWidth="1"/>
    <col min="11798" max="11798" width="9.5546875" style="8" bestFit="1" customWidth="1"/>
    <col min="11799" max="11800" width="8.6640625" style="8" customWidth="1"/>
    <col min="11801" max="11805" width="0" style="8" hidden="1" customWidth="1"/>
    <col min="11806" max="11811" width="8.6640625" style="8" customWidth="1"/>
    <col min="11812" max="12032" width="9.109375" style="8"/>
    <col min="12033" max="12033" width="10.5546875" style="8" bestFit="1" customWidth="1"/>
    <col min="12034" max="12034" width="9.5546875" style="8" customWidth="1"/>
    <col min="12035" max="12035" width="9.88671875" style="8" customWidth="1"/>
    <col min="12036" max="12046" width="8.6640625" style="8" customWidth="1"/>
    <col min="12047" max="12047" width="0" style="8" hidden="1" customWidth="1"/>
    <col min="12048" max="12053" width="8.6640625" style="8" customWidth="1"/>
    <col min="12054" max="12054" width="9.5546875" style="8" bestFit="1" customWidth="1"/>
    <col min="12055" max="12056" width="8.6640625" style="8" customWidth="1"/>
    <col min="12057" max="12061" width="0" style="8" hidden="1" customWidth="1"/>
    <col min="12062" max="12067" width="8.6640625" style="8" customWidth="1"/>
    <col min="12068" max="12288" width="9.109375" style="8"/>
    <col min="12289" max="12289" width="10.5546875" style="8" bestFit="1" customWidth="1"/>
    <col min="12290" max="12290" width="9.5546875" style="8" customWidth="1"/>
    <col min="12291" max="12291" width="9.88671875" style="8" customWidth="1"/>
    <col min="12292" max="12302" width="8.6640625" style="8" customWidth="1"/>
    <col min="12303" max="12303" width="0" style="8" hidden="1" customWidth="1"/>
    <col min="12304" max="12309" width="8.6640625" style="8" customWidth="1"/>
    <col min="12310" max="12310" width="9.5546875" style="8" bestFit="1" customWidth="1"/>
    <col min="12311" max="12312" width="8.6640625" style="8" customWidth="1"/>
    <col min="12313" max="12317" width="0" style="8" hidden="1" customWidth="1"/>
    <col min="12318" max="12323" width="8.6640625" style="8" customWidth="1"/>
    <col min="12324" max="12544" width="9.109375" style="8"/>
    <col min="12545" max="12545" width="10.5546875" style="8" bestFit="1" customWidth="1"/>
    <col min="12546" max="12546" width="9.5546875" style="8" customWidth="1"/>
    <col min="12547" max="12547" width="9.88671875" style="8" customWidth="1"/>
    <col min="12548" max="12558" width="8.6640625" style="8" customWidth="1"/>
    <col min="12559" max="12559" width="0" style="8" hidden="1" customWidth="1"/>
    <col min="12560" max="12565" width="8.6640625" style="8" customWidth="1"/>
    <col min="12566" max="12566" width="9.5546875" style="8" bestFit="1" customWidth="1"/>
    <col min="12567" max="12568" width="8.6640625" style="8" customWidth="1"/>
    <col min="12569" max="12573" width="0" style="8" hidden="1" customWidth="1"/>
    <col min="12574" max="12579" width="8.6640625" style="8" customWidth="1"/>
    <col min="12580" max="12800" width="9.109375" style="8"/>
    <col min="12801" max="12801" width="10.5546875" style="8" bestFit="1" customWidth="1"/>
    <col min="12802" max="12802" width="9.5546875" style="8" customWidth="1"/>
    <col min="12803" max="12803" width="9.88671875" style="8" customWidth="1"/>
    <col min="12804" max="12814" width="8.6640625" style="8" customWidth="1"/>
    <col min="12815" max="12815" width="0" style="8" hidden="1" customWidth="1"/>
    <col min="12816" max="12821" width="8.6640625" style="8" customWidth="1"/>
    <col min="12822" max="12822" width="9.5546875" style="8" bestFit="1" customWidth="1"/>
    <col min="12823" max="12824" width="8.6640625" style="8" customWidth="1"/>
    <col min="12825" max="12829" width="0" style="8" hidden="1" customWidth="1"/>
    <col min="12830" max="12835" width="8.6640625" style="8" customWidth="1"/>
    <col min="12836" max="13056" width="9.109375" style="8"/>
    <col min="13057" max="13057" width="10.5546875" style="8" bestFit="1" customWidth="1"/>
    <col min="13058" max="13058" width="9.5546875" style="8" customWidth="1"/>
    <col min="13059" max="13059" width="9.88671875" style="8" customWidth="1"/>
    <col min="13060" max="13070" width="8.6640625" style="8" customWidth="1"/>
    <col min="13071" max="13071" width="0" style="8" hidden="1" customWidth="1"/>
    <col min="13072" max="13077" width="8.6640625" style="8" customWidth="1"/>
    <col min="13078" max="13078" width="9.5546875" style="8" bestFit="1" customWidth="1"/>
    <col min="13079" max="13080" width="8.6640625" style="8" customWidth="1"/>
    <col min="13081" max="13085" width="0" style="8" hidden="1" customWidth="1"/>
    <col min="13086" max="13091" width="8.6640625" style="8" customWidth="1"/>
    <col min="13092" max="13312" width="9.109375" style="8"/>
    <col min="13313" max="13313" width="10.5546875" style="8" bestFit="1" customWidth="1"/>
    <col min="13314" max="13314" width="9.5546875" style="8" customWidth="1"/>
    <col min="13315" max="13315" width="9.88671875" style="8" customWidth="1"/>
    <col min="13316" max="13326" width="8.6640625" style="8" customWidth="1"/>
    <col min="13327" max="13327" width="0" style="8" hidden="1" customWidth="1"/>
    <col min="13328" max="13333" width="8.6640625" style="8" customWidth="1"/>
    <col min="13334" max="13334" width="9.5546875" style="8" bestFit="1" customWidth="1"/>
    <col min="13335" max="13336" width="8.6640625" style="8" customWidth="1"/>
    <col min="13337" max="13341" width="0" style="8" hidden="1" customWidth="1"/>
    <col min="13342" max="13347" width="8.6640625" style="8" customWidth="1"/>
    <col min="13348" max="13568" width="9.109375" style="8"/>
    <col min="13569" max="13569" width="10.5546875" style="8" bestFit="1" customWidth="1"/>
    <col min="13570" max="13570" width="9.5546875" style="8" customWidth="1"/>
    <col min="13571" max="13571" width="9.88671875" style="8" customWidth="1"/>
    <col min="13572" max="13582" width="8.6640625" style="8" customWidth="1"/>
    <col min="13583" max="13583" width="0" style="8" hidden="1" customWidth="1"/>
    <col min="13584" max="13589" width="8.6640625" style="8" customWidth="1"/>
    <col min="13590" max="13590" width="9.5546875" style="8" bestFit="1" customWidth="1"/>
    <col min="13591" max="13592" width="8.6640625" style="8" customWidth="1"/>
    <col min="13593" max="13597" width="0" style="8" hidden="1" customWidth="1"/>
    <col min="13598" max="13603" width="8.6640625" style="8" customWidth="1"/>
    <col min="13604" max="13824" width="9.109375" style="8"/>
    <col min="13825" max="13825" width="10.5546875" style="8" bestFit="1" customWidth="1"/>
    <col min="13826" max="13826" width="9.5546875" style="8" customWidth="1"/>
    <col min="13827" max="13827" width="9.88671875" style="8" customWidth="1"/>
    <col min="13828" max="13838" width="8.6640625" style="8" customWidth="1"/>
    <col min="13839" max="13839" width="0" style="8" hidden="1" customWidth="1"/>
    <col min="13840" max="13845" width="8.6640625" style="8" customWidth="1"/>
    <col min="13846" max="13846" width="9.5546875" style="8" bestFit="1" customWidth="1"/>
    <col min="13847" max="13848" width="8.6640625" style="8" customWidth="1"/>
    <col min="13849" max="13853" width="0" style="8" hidden="1" customWidth="1"/>
    <col min="13854" max="13859" width="8.6640625" style="8" customWidth="1"/>
    <col min="13860" max="14080" width="9.109375" style="8"/>
    <col min="14081" max="14081" width="10.5546875" style="8" bestFit="1" customWidth="1"/>
    <col min="14082" max="14082" width="9.5546875" style="8" customWidth="1"/>
    <col min="14083" max="14083" width="9.88671875" style="8" customWidth="1"/>
    <col min="14084" max="14094" width="8.6640625" style="8" customWidth="1"/>
    <col min="14095" max="14095" width="0" style="8" hidden="1" customWidth="1"/>
    <col min="14096" max="14101" width="8.6640625" style="8" customWidth="1"/>
    <col min="14102" max="14102" width="9.5546875" style="8" bestFit="1" customWidth="1"/>
    <col min="14103" max="14104" width="8.6640625" style="8" customWidth="1"/>
    <col min="14105" max="14109" width="0" style="8" hidden="1" customWidth="1"/>
    <col min="14110" max="14115" width="8.6640625" style="8" customWidth="1"/>
    <col min="14116" max="14336" width="9.109375" style="8"/>
    <col min="14337" max="14337" width="10.5546875" style="8" bestFit="1" customWidth="1"/>
    <col min="14338" max="14338" width="9.5546875" style="8" customWidth="1"/>
    <col min="14339" max="14339" width="9.88671875" style="8" customWidth="1"/>
    <col min="14340" max="14350" width="8.6640625" style="8" customWidth="1"/>
    <col min="14351" max="14351" width="0" style="8" hidden="1" customWidth="1"/>
    <col min="14352" max="14357" width="8.6640625" style="8" customWidth="1"/>
    <col min="14358" max="14358" width="9.5546875" style="8" bestFit="1" customWidth="1"/>
    <col min="14359" max="14360" width="8.6640625" style="8" customWidth="1"/>
    <col min="14361" max="14365" width="0" style="8" hidden="1" customWidth="1"/>
    <col min="14366" max="14371" width="8.6640625" style="8" customWidth="1"/>
    <col min="14372" max="14592" width="9.109375" style="8"/>
    <col min="14593" max="14593" width="10.5546875" style="8" bestFit="1" customWidth="1"/>
    <col min="14594" max="14594" width="9.5546875" style="8" customWidth="1"/>
    <col min="14595" max="14595" width="9.88671875" style="8" customWidth="1"/>
    <col min="14596" max="14606" width="8.6640625" style="8" customWidth="1"/>
    <col min="14607" max="14607" width="0" style="8" hidden="1" customWidth="1"/>
    <col min="14608" max="14613" width="8.6640625" style="8" customWidth="1"/>
    <col min="14614" max="14614" width="9.5546875" style="8" bestFit="1" customWidth="1"/>
    <col min="14615" max="14616" width="8.6640625" style="8" customWidth="1"/>
    <col min="14617" max="14621" width="0" style="8" hidden="1" customWidth="1"/>
    <col min="14622" max="14627" width="8.6640625" style="8" customWidth="1"/>
    <col min="14628" max="14848" width="9.109375" style="8"/>
    <col min="14849" max="14849" width="10.5546875" style="8" bestFit="1" customWidth="1"/>
    <col min="14850" max="14850" width="9.5546875" style="8" customWidth="1"/>
    <col min="14851" max="14851" width="9.88671875" style="8" customWidth="1"/>
    <col min="14852" max="14862" width="8.6640625" style="8" customWidth="1"/>
    <col min="14863" max="14863" width="0" style="8" hidden="1" customWidth="1"/>
    <col min="14864" max="14869" width="8.6640625" style="8" customWidth="1"/>
    <col min="14870" max="14870" width="9.5546875" style="8" bestFit="1" customWidth="1"/>
    <col min="14871" max="14872" width="8.6640625" style="8" customWidth="1"/>
    <col min="14873" max="14877" width="0" style="8" hidden="1" customWidth="1"/>
    <col min="14878" max="14883" width="8.6640625" style="8" customWidth="1"/>
    <col min="14884" max="15104" width="9.109375" style="8"/>
    <col min="15105" max="15105" width="10.5546875" style="8" bestFit="1" customWidth="1"/>
    <col min="15106" max="15106" width="9.5546875" style="8" customWidth="1"/>
    <col min="15107" max="15107" width="9.88671875" style="8" customWidth="1"/>
    <col min="15108" max="15118" width="8.6640625" style="8" customWidth="1"/>
    <col min="15119" max="15119" width="0" style="8" hidden="1" customWidth="1"/>
    <col min="15120" max="15125" width="8.6640625" style="8" customWidth="1"/>
    <col min="15126" max="15126" width="9.5546875" style="8" bestFit="1" customWidth="1"/>
    <col min="15127" max="15128" width="8.6640625" style="8" customWidth="1"/>
    <col min="15129" max="15133" width="0" style="8" hidden="1" customWidth="1"/>
    <col min="15134" max="15139" width="8.6640625" style="8" customWidth="1"/>
    <col min="15140" max="15360" width="9.109375" style="8"/>
    <col min="15361" max="15361" width="10.5546875" style="8" bestFit="1" customWidth="1"/>
    <col min="15362" max="15362" width="9.5546875" style="8" customWidth="1"/>
    <col min="15363" max="15363" width="9.88671875" style="8" customWidth="1"/>
    <col min="15364" max="15374" width="8.6640625" style="8" customWidth="1"/>
    <col min="15375" max="15375" width="0" style="8" hidden="1" customWidth="1"/>
    <col min="15376" max="15381" width="8.6640625" style="8" customWidth="1"/>
    <col min="15382" max="15382" width="9.5546875" style="8" bestFit="1" customWidth="1"/>
    <col min="15383" max="15384" width="8.6640625" style="8" customWidth="1"/>
    <col min="15385" max="15389" width="0" style="8" hidden="1" customWidth="1"/>
    <col min="15390" max="15395" width="8.6640625" style="8" customWidth="1"/>
    <col min="15396" max="15616" width="9.109375" style="8"/>
    <col min="15617" max="15617" width="10.5546875" style="8" bestFit="1" customWidth="1"/>
    <col min="15618" max="15618" width="9.5546875" style="8" customWidth="1"/>
    <col min="15619" max="15619" width="9.88671875" style="8" customWidth="1"/>
    <col min="15620" max="15630" width="8.6640625" style="8" customWidth="1"/>
    <col min="15631" max="15631" width="0" style="8" hidden="1" customWidth="1"/>
    <col min="15632" max="15637" width="8.6640625" style="8" customWidth="1"/>
    <col min="15638" max="15638" width="9.5546875" style="8" bestFit="1" customWidth="1"/>
    <col min="15639" max="15640" width="8.6640625" style="8" customWidth="1"/>
    <col min="15641" max="15645" width="0" style="8" hidden="1" customWidth="1"/>
    <col min="15646" max="15651" width="8.6640625" style="8" customWidth="1"/>
    <col min="15652" max="15872" width="9.109375" style="8"/>
    <col min="15873" max="15873" width="10.5546875" style="8" bestFit="1" customWidth="1"/>
    <col min="15874" max="15874" width="9.5546875" style="8" customWidth="1"/>
    <col min="15875" max="15875" width="9.88671875" style="8" customWidth="1"/>
    <col min="15876" max="15886" width="8.6640625" style="8" customWidth="1"/>
    <col min="15887" max="15887" width="0" style="8" hidden="1" customWidth="1"/>
    <col min="15888" max="15893" width="8.6640625" style="8" customWidth="1"/>
    <col min="15894" max="15894" width="9.5546875" style="8" bestFit="1" customWidth="1"/>
    <col min="15895" max="15896" width="8.6640625" style="8" customWidth="1"/>
    <col min="15897" max="15901" width="0" style="8" hidden="1" customWidth="1"/>
    <col min="15902" max="15907" width="8.6640625" style="8" customWidth="1"/>
    <col min="15908" max="16128" width="9.109375" style="8"/>
    <col min="16129" max="16129" width="10.5546875" style="8" bestFit="1" customWidth="1"/>
    <col min="16130" max="16130" width="9.5546875" style="8" customWidth="1"/>
    <col min="16131" max="16131" width="9.88671875" style="8" customWidth="1"/>
    <col min="16132" max="16142" width="8.6640625" style="8" customWidth="1"/>
    <col min="16143" max="16143" width="0" style="8" hidden="1" customWidth="1"/>
    <col min="16144" max="16149" width="8.6640625" style="8" customWidth="1"/>
    <col min="16150" max="16150" width="9.5546875" style="8" bestFit="1" customWidth="1"/>
    <col min="16151" max="16152" width="8.6640625" style="8" customWidth="1"/>
    <col min="16153" max="16157" width="0" style="8" hidden="1" customWidth="1"/>
    <col min="16158" max="16163" width="8.6640625" style="8" customWidth="1"/>
    <col min="16164" max="16384" width="9.109375" style="8"/>
  </cols>
  <sheetData>
    <row r="1" spans="1:41" ht="15" thickBot="1">
      <c r="C1" s="9">
        <v>40200</v>
      </c>
      <c r="D1" s="10">
        <v>40201</v>
      </c>
      <c r="E1" s="9">
        <v>40202</v>
      </c>
      <c r="F1" s="10">
        <v>40209</v>
      </c>
      <c r="G1" s="9">
        <v>40210</v>
      </c>
      <c r="H1" s="10">
        <v>40211</v>
      </c>
      <c r="I1" s="9">
        <v>41200</v>
      </c>
      <c r="J1" s="10">
        <v>41201</v>
      </c>
      <c r="K1" s="9">
        <v>41202</v>
      </c>
      <c r="L1" s="10">
        <v>41209</v>
      </c>
      <c r="M1" s="9">
        <v>41210</v>
      </c>
      <c r="N1" s="10">
        <v>41211</v>
      </c>
      <c r="O1" s="9">
        <v>49006</v>
      </c>
      <c r="P1" s="10">
        <v>49005</v>
      </c>
      <c r="Q1" s="9">
        <v>49004</v>
      </c>
      <c r="R1" s="10">
        <v>40109</v>
      </c>
      <c r="S1" s="9">
        <v>40108</v>
      </c>
      <c r="T1" s="10">
        <v>40107</v>
      </c>
      <c r="U1" s="9">
        <v>40102</v>
      </c>
      <c r="V1" s="10">
        <v>40304</v>
      </c>
      <c r="W1" s="9">
        <v>40305</v>
      </c>
      <c r="X1" s="10">
        <v>40008</v>
      </c>
      <c r="Y1" s="9">
        <v>40009</v>
      </c>
      <c r="Z1" s="10">
        <v>40010</v>
      </c>
      <c r="AA1" s="9">
        <v>40011</v>
      </c>
      <c r="AB1" s="10">
        <v>40012</v>
      </c>
      <c r="AC1" s="11">
        <v>40013</v>
      </c>
      <c r="AJ1" s="9">
        <v>41212</v>
      </c>
      <c r="AK1" s="10">
        <v>40105</v>
      </c>
      <c r="AL1" s="10">
        <v>40130</v>
      </c>
      <c r="AM1" s="9">
        <v>40131</v>
      </c>
      <c r="AN1" s="10">
        <v>40103</v>
      </c>
      <c r="AO1" s="9">
        <v>40104</v>
      </c>
    </row>
    <row r="2" spans="1:41" ht="15" thickBot="1">
      <c r="C2" s="9" t="s">
        <v>3</v>
      </c>
      <c r="D2" s="10" t="s">
        <v>2</v>
      </c>
      <c r="E2" s="9" t="s">
        <v>1</v>
      </c>
      <c r="F2" s="10" t="s">
        <v>6</v>
      </c>
      <c r="G2" s="9" t="s">
        <v>5</v>
      </c>
      <c r="H2" s="10" t="s">
        <v>4</v>
      </c>
      <c r="I2" s="9" t="s">
        <v>15</v>
      </c>
      <c r="J2" s="10" t="s">
        <v>14</v>
      </c>
      <c r="K2" s="9" t="s">
        <v>13</v>
      </c>
      <c r="L2" s="10" t="s">
        <v>12</v>
      </c>
      <c r="M2" s="9" t="s">
        <v>11</v>
      </c>
      <c r="N2" s="10" t="s">
        <v>10</v>
      </c>
      <c r="O2" s="9" t="s">
        <v>3</v>
      </c>
      <c r="P2" s="10" t="s">
        <v>2</v>
      </c>
      <c r="Q2" s="9" t="s">
        <v>1</v>
      </c>
      <c r="R2" s="10" t="s">
        <v>7</v>
      </c>
      <c r="S2" s="9" t="s">
        <v>8</v>
      </c>
      <c r="T2" s="10" t="s">
        <v>9</v>
      </c>
      <c r="U2" s="9" t="s">
        <v>10</v>
      </c>
      <c r="V2" s="10" t="s">
        <v>11</v>
      </c>
      <c r="W2" s="9" t="s">
        <v>12</v>
      </c>
      <c r="X2" s="10" t="s">
        <v>7</v>
      </c>
      <c r="Y2" s="9" t="s">
        <v>8</v>
      </c>
      <c r="Z2" s="10" t="s">
        <v>9</v>
      </c>
      <c r="AA2" s="9" t="s">
        <v>4</v>
      </c>
      <c r="AB2" s="10" t="s">
        <v>5</v>
      </c>
      <c r="AC2" s="11" t="s">
        <v>6</v>
      </c>
      <c r="AJ2" s="9" t="s">
        <v>52</v>
      </c>
      <c r="AK2" s="10" t="s">
        <v>55</v>
      </c>
      <c r="AL2" s="10" t="s">
        <v>55</v>
      </c>
      <c r="AM2" s="9" t="s">
        <v>54</v>
      </c>
      <c r="AN2" s="10" t="s">
        <v>53</v>
      </c>
      <c r="AO2" s="9" t="s">
        <v>54</v>
      </c>
    </row>
    <row r="3" spans="1:41">
      <c r="A3" s="12" t="s">
        <v>56</v>
      </c>
      <c r="B3" s="13" t="s">
        <v>57</v>
      </c>
      <c r="C3" s="14" t="s">
        <v>18</v>
      </c>
      <c r="D3" s="15" t="s">
        <v>17</v>
      </c>
      <c r="E3" s="14" t="s">
        <v>16</v>
      </c>
      <c r="F3" s="16" t="s">
        <v>21</v>
      </c>
      <c r="G3" s="14" t="s">
        <v>20</v>
      </c>
      <c r="H3" s="15" t="s">
        <v>19</v>
      </c>
      <c r="I3" s="14" t="s">
        <v>36</v>
      </c>
      <c r="J3" s="15" t="s">
        <v>35</v>
      </c>
      <c r="K3" s="14" t="s">
        <v>34</v>
      </c>
      <c r="L3" s="10" t="s">
        <v>39</v>
      </c>
      <c r="M3" s="14" t="s">
        <v>38</v>
      </c>
      <c r="N3" s="15" t="s">
        <v>37</v>
      </c>
      <c r="O3" s="14" t="s">
        <v>42</v>
      </c>
      <c r="P3" s="15" t="s">
        <v>41</v>
      </c>
      <c r="Q3" s="14" t="s">
        <v>40</v>
      </c>
      <c r="R3" s="15" t="s">
        <v>22</v>
      </c>
      <c r="S3" s="14" t="s">
        <v>23</v>
      </c>
      <c r="T3" s="16" t="s">
        <v>24</v>
      </c>
      <c r="U3" s="14" t="s">
        <v>25</v>
      </c>
      <c r="V3" s="15" t="s">
        <v>26</v>
      </c>
      <c r="W3" s="14" t="s">
        <v>27</v>
      </c>
      <c r="X3" s="15" t="s">
        <v>28</v>
      </c>
      <c r="Y3" s="14" t="s">
        <v>29</v>
      </c>
      <c r="Z3" s="15" t="s">
        <v>30</v>
      </c>
      <c r="AA3" s="14" t="s">
        <v>31</v>
      </c>
      <c r="AB3" s="15" t="s">
        <v>32</v>
      </c>
      <c r="AC3" s="18" t="s">
        <v>33</v>
      </c>
      <c r="AJ3" s="14" t="s">
        <v>58</v>
      </c>
      <c r="AK3" s="10" t="s">
        <v>61</v>
      </c>
      <c r="AL3" s="15" t="s">
        <v>62</v>
      </c>
      <c r="AM3" s="17" t="s">
        <v>63</v>
      </c>
      <c r="AN3" s="15" t="s">
        <v>59</v>
      </c>
      <c r="AO3" s="14" t="s">
        <v>60</v>
      </c>
    </row>
    <row r="4" spans="1:41">
      <c r="A4" s="19">
        <v>42958</v>
      </c>
      <c r="B4" s="20" t="s">
        <v>64</v>
      </c>
      <c r="C4" s="20">
        <v>3965</v>
      </c>
      <c r="D4" s="20">
        <v>2855</v>
      </c>
      <c r="E4" s="20">
        <v>2060</v>
      </c>
      <c r="F4" s="20">
        <v>301</v>
      </c>
      <c r="G4" s="20">
        <v>339</v>
      </c>
      <c r="H4" s="20">
        <v>312</v>
      </c>
      <c r="I4" s="20">
        <v>143</v>
      </c>
      <c r="J4" s="20">
        <v>161</v>
      </c>
      <c r="K4" s="20">
        <v>64</v>
      </c>
      <c r="L4" s="20">
        <v>154</v>
      </c>
      <c r="M4" s="20">
        <v>72</v>
      </c>
      <c r="N4" s="20">
        <v>193</v>
      </c>
      <c r="O4" s="20">
        <v>464</v>
      </c>
      <c r="P4" s="20">
        <v>237</v>
      </c>
      <c r="Q4" s="20">
        <v>228</v>
      </c>
      <c r="R4" s="20">
        <v>79</v>
      </c>
      <c r="S4" s="20">
        <v>193</v>
      </c>
      <c r="T4" s="20">
        <v>409</v>
      </c>
      <c r="U4" s="20">
        <v>366</v>
      </c>
      <c r="V4" s="20">
        <v>632</v>
      </c>
      <c r="W4" s="20">
        <v>330</v>
      </c>
      <c r="X4" s="20">
        <v>147</v>
      </c>
      <c r="Y4" s="20">
        <v>166</v>
      </c>
      <c r="Z4" s="20">
        <v>177</v>
      </c>
      <c r="AA4" s="20">
        <v>293</v>
      </c>
      <c r="AB4" s="20">
        <v>171</v>
      </c>
      <c r="AC4" s="20">
        <v>169</v>
      </c>
      <c r="AJ4" s="20">
        <f>'[1]Count Inventory'!O3</f>
        <v>0</v>
      </c>
      <c r="AK4" s="20">
        <f>'[1]Count Inventory'!AA3</f>
        <v>0</v>
      </c>
      <c r="AL4" s="20">
        <f>'[1]Count Inventory'!AB3</f>
        <v>0</v>
      </c>
      <c r="AM4" s="20">
        <f>'[1]Count Inventory'!AC3</f>
        <v>0</v>
      </c>
      <c r="AN4" s="20">
        <f>'[1]Count Inventory'!Y3</f>
        <v>0</v>
      </c>
      <c r="AO4" s="20">
        <f>'[1]Count Inventory'!Z3</f>
        <v>0</v>
      </c>
    </row>
    <row r="5" spans="1:41">
      <c r="A5" s="19">
        <v>42958</v>
      </c>
      <c r="B5" s="20" t="s">
        <v>65</v>
      </c>
      <c r="C5" s="20">
        <v>1440</v>
      </c>
      <c r="D5" s="20">
        <v>2240</v>
      </c>
      <c r="E5" s="20">
        <v>2160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>
        <v>396</v>
      </c>
      <c r="S5" s="20">
        <v>33</v>
      </c>
      <c r="T5" s="20">
        <v>165</v>
      </c>
      <c r="U5" s="20"/>
      <c r="V5" s="20"/>
      <c r="W5" s="20"/>
      <c r="X5" s="20">
        <v>200</v>
      </c>
      <c r="Y5" s="20">
        <v>240</v>
      </c>
      <c r="Z5" s="20">
        <v>280</v>
      </c>
      <c r="AA5" s="20"/>
      <c r="AB5" s="20"/>
      <c r="AC5" s="20">
        <v>40</v>
      </c>
      <c r="AJ5" s="20"/>
      <c r="AK5" s="20"/>
      <c r="AL5" s="20"/>
      <c r="AM5" s="20"/>
      <c r="AN5" s="20"/>
      <c r="AO5" s="20"/>
    </row>
    <row r="6" spans="1:41">
      <c r="A6" s="19">
        <v>42958</v>
      </c>
      <c r="B6" s="20" t="s">
        <v>64</v>
      </c>
      <c r="C6" s="20">
        <v>3965</v>
      </c>
      <c r="D6" s="20">
        <v>2855</v>
      </c>
      <c r="E6" s="20">
        <v>2060</v>
      </c>
      <c r="F6" s="20">
        <v>301</v>
      </c>
      <c r="G6" s="20">
        <v>339</v>
      </c>
      <c r="H6" s="20">
        <v>312</v>
      </c>
      <c r="I6" s="20">
        <v>143</v>
      </c>
      <c r="J6" s="20">
        <v>161</v>
      </c>
      <c r="K6" s="20">
        <v>64</v>
      </c>
      <c r="L6" s="20">
        <v>154</v>
      </c>
      <c r="M6" s="20">
        <v>72</v>
      </c>
      <c r="N6" s="20">
        <v>193</v>
      </c>
      <c r="O6" s="20">
        <v>464</v>
      </c>
      <c r="P6" s="20">
        <v>237</v>
      </c>
      <c r="Q6" s="20">
        <v>228</v>
      </c>
      <c r="R6" s="20">
        <v>79</v>
      </c>
      <c r="S6" s="20">
        <v>193</v>
      </c>
      <c r="T6" s="20">
        <v>409</v>
      </c>
      <c r="U6" s="20">
        <v>366</v>
      </c>
      <c r="V6" s="20">
        <v>632</v>
      </c>
      <c r="W6" s="20">
        <v>330</v>
      </c>
      <c r="X6" s="20">
        <v>147</v>
      </c>
      <c r="Y6" s="20">
        <v>166</v>
      </c>
      <c r="Z6" s="20">
        <v>177</v>
      </c>
      <c r="AA6" s="20">
        <v>293</v>
      </c>
      <c r="AB6" s="20">
        <v>171</v>
      </c>
      <c r="AC6" s="20">
        <v>169</v>
      </c>
      <c r="AJ6" s="20">
        <v>0</v>
      </c>
      <c r="AK6" s="20">
        <v>0</v>
      </c>
      <c r="AL6" s="20">
        <v>0</v>
      </c>
      <c r="AM6" s="20">
        <v>0</v>
      </c>
      <c r="AN6" s="20">
        <v>0</v>
      </c>
      <c r="AO6" s="20">
        <v>0</v>
      </c>
    </row>
    <row r="7" spans="1:41">
      <c r="A7" s="19">
        <v>42958</v>
      </c>
      <c r="B7" s="20" t="s">
        <v>65</v>
      </c>
      <c r="C7" s="20">
        <v>1920</v>
      </c>
      <c r="D7" s="20">
        <v>2240</v>
      </c>
      <c r="E7" s="20">
        <v>2160</v>
      </c>
      <c r="F7" s="20">
        <v>80</v>
      </c>
      <c r="G7" s="20">
        <v>40</v>
      </c>
      <c r="H7" s="20">
        <v>280</v>
      </c>
      <c r="I7" s="20"/>
      <c r="J7" s="20"/>
      <c r="K7" s="20">
        <v>270</v>
      </c>
      <c r="L7" s="20"/>
      <c r="M7" s="20"/>
      <c r="N7" s="20"/>
      <c r="O7" s="20"/>
      <c r="P7" s="20">
        <v>270</v>
      </c>
      <c r="Q7" s="20">
        <v>80</v>
      </c>
      <c r="R7" s="20">
        <v>396</v>
      </c>
      <c r="S7" s="20">
        <v>33</v>
      </c>
      <c r="T7" s="20">
        <v>165</v>
      </c>
      <c r="U7" s="20"/>
      <c r="V7" s="20"/>
      <c r="W7" s="20"/>
      <c r="X7" s="20"/>
      <c r="Y7" s="20"/>
      <c r="Z7" s="20"/>
      <c r="AA7" s="20"/>
      <c r="AB7" s="20"/>
      <c r="AC7" s="20"/>
      <c r="AJ7" s="20"/>
      <c r="AK7" s="20"/>
      <c r="AL7" s="20"/>
      <c r="AM7" s="20"/>
      <c r="AN7" s="20"/>
      <c r="AO7" s="20"/>
    </row>
    <row r="8" spans="1:41">
      <c r="A8" s="7">
        <v>42961</v>
      </c>
      <c r="B8" s="8" t="s">
        <v>64</v>
      </c>
      <c r="C8" s="8">
        <v>4360</v>
      </c>
      <c r="D8" s="8">
        <v>3068</v>
      </c>
      <c r="E8" s="8">
        <v>1900</v>
      </c>
      <c r="F8" s="8">
        <v>346</v>
      </c>
      <c r="G8" s="8">
        <v>318</v>
      </c>
      <c r="H8" s="8">
        <v>249</v>
      </c>
      <c r="I8" s="8">
        <v>102</v>
      </c>
      <c r="J8" s="8">
        <v>168</v>
      </c>
      <c r="K8" s="8">
        <v>19</v>
      </c>
      <c r="L8" s="8">
        <v>152</v>
      </c>
      <c r="M8" s="8">
        <v>72</v>
      </c>
      <c r="N8" s="8">
        <v>192</v>
      </c>
      <c r="O8" s="8">
        <v>433</v>
      </c>
      <c r="P8" s="8">
        <v>165</v>
      </c>
      <c r="Q8" s="8">
        <v>151</v>
      </c>
      <c r="R8" s="8">
        <v>59</v>
      </c>
      <c r="S8" s="8">
        <v>188</v>
      </c>
      <c r="T8" s="8">
        <v>399</v>
      </c>
      <c r="U8" s="8">
        <v>358</v>
      </c>
      <c r="V8" s="8">
        <v>630</v>
      </c>
      <c r="W8" s="8">
        <v>327</v>
      </c>
      <c r="X8" s="8">
        <v>128</v>
      </c>
      <c r="Y8" s="8">
        <v>138</v>
      </c>
      <c r="Z8" s="8">
        <v>112</v>
      </c>
      <c r="AA8" s="8">
        <v>288</v>
      </c>
      <c r="AB8" s="8">
        <v>171</v>
      </c>
      <c r="AC8" s="8">
        <v>166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</row>
    <row r="9" spans="1:41">
      <c r="A9" s="7">
        <v>42961</v>
      </c>
      <c r="B9" s="8" t="s">
        <v>65</v>
      </c>
      <c r="C9" s="8">
        <v>1440</v>
      </c>
      <c r="D9" s="8">
        <v>2240</v>
      </c>
      <c r="E9" s="8">
        <v>2160</v>
      </c>
      <c r="F9" s="8">
        <v>80</v>
      </c>
      <c r="G9" s="8">
        <v>40</v>
      </c>
      <c r="H9" s="8">
        <v>280</v>
      </c>
      <c r="K9" s="8">
        <v>270</v>
      </c>
      <c r="P9" s="8">
        <v>270</v>
      </c>
      <c r="Q9" s="8">
        <v>80</v>
      </c>
      <c r="R9" s="8">
        <v>396</v>
      </c>
      <c r="S9" s="8">
        <v>33</v>
      </c>
      <c r="T9" s="8">
        <v>165</v>
      </c>
      <c r="X9" s="8">
        <v>200</v>
      </c>
      <c r="Y9" s="8">
        <v>240</v>
      </c>
      <c r="Z9" s="8">
        <v>280</v>
      </c>
      <c r="AC9" s="8">
        <v>40</v>
      </c>
    </row>
    <row r="10" spans="1:41">
      <c r="A10" s="7">
        <v>42968</v>
      </c>
      <c r="B10" s="8" t="s">
        <v>64</v>
      </c>
      <c r="C10" s="8">
        <v>4120</v>
      </c>
      <c r="D10" s="8">
        <v>2560</v>
      </c>
      <c r="E10" s="8">
        <v>2320</v>
      </c>
      <c r="F10" s="8">
        <v>346</v>
      </c>
      <c r="G10" s="8">
        <v>318</v>
      </c>
      <c r="H10" s="8">
        <v>249</v>
      </c>
      <c r="I10" s="8">
        <v>102</v>
      </c>
      <c r="J10" s="8">
        <v>168</v>
      </c>
      <c r="K10" s="8">
        <v>19</v>
      </c>
      <c r="L10" s="8">
        <v>152</v>
      </c>
      <c r="M10" s="8">
        <v>72</v>
      </c>
      <c r="N10" s="8">
        <v>192</v>
      </c>
      <c r="O10" s="8">
        <v>433</v>
      </c>
      <c r="P10" s="8">
        <v>165</v>
      </c>
      <c r="Q10" s="8">
        <v>151</v>
      </c>
      <c r="R10" s="8">
        <v>59</v>
      </c>
      <c r="S10" s="8">
        <v>188</v>
      </c>
      <c r="T10" s="8">
        <v>399</v>
      </c>
      <c r="U10" s="8">
        <v>358</v>
      </c>
      <c r="V10" s="8">
        <v>630</v>
      </c>
      <c r="W10" s="8">
        <v>327</v>
      </c>
      <c r="X10" s="8">
        <v>128</v>
      </c>
      <c r="Y10" s="8">
        <v>138</v>
      </c>
      <c r="Z10" s="8">
        <v>112</v>
      </c>
      <c r="AA10" s="8">
        <v>288</v>
      </c>
      <c r="AB10" s="8">
        <v>171</v>
      </c>
      <c r="AC10" s="8">
        <v>166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</row>
    <row r="11" spans="1:41">
      <c r="A11" s="7">
        <v>42968</v>
      </c>
      <c r="B11" s="8" t="s">
        <v>65</v>
      </c>
      <c r="C11" s="8">
        <v>960</v>
      </c>
      <c r="D11" s="8">
        <v>2240</v>
      </c>
      <c r="E11" s="8">
        <v>1440</v>
      </c>
      <c r="K11" s="8">
        <v>270</v>
      </c>
      <c r="P11" s="8">
        <v>270</v>
      </c>
      <c r="Q11" s="8">
        <v>80</v>
      </c>
      <c r="X11" s="8">
        <v>200</v>
      </c>
      <c r="Y11" s="8">
        <v>240</v>
      </c>
      <c r="Z11" s="8">
        <v>280</v>
      </c>
      <c r="AC11" s="8">
        <v>40</v>
      </c>
    </row>
    <row r="12" spans="1:41">
      <c r="A12" s="7">
        <v>42969</v>
      </c>
      <c r="B12" s="8" t="s">
        <v>64</v>
      </c>
      <c r="C12" s="8">
        <v>4120</v>
      </c>
      <c r="D12" s="8">
        <v>2560</v>
      </c>
      <c r="E12" s="8">
        <v>2320</v>
      </c>
      <c r="F12" s="8">
        <v>383</v>
      </c>
      <c r="G12" s="8">
        <v>294</v>
      </c>
      <c r="H12" s="8">
        <v>416</v>
      </c>
      <c r="I12" s="8">
        <v>98</v>
      </c>
      <c r="J12" s="8">
        <v>168</v>
      </c>
      <c r="K12" s="8">
        <v>4</v>
      </c>
      <c r="L12" s="8">
        <v>152</v>
      </c>
      <c r="M12" s="8">
        <v>72</v>
      </c>
      <c r="N12" s="8">
        <v>179</v>
      </c>
      <c r="O12" s="8">
        <v>334</v>
      </c>
      <c r="P12" s="8">
        <v>61</v>
      </c>
      <c r="Q12" s="8">
        <v>45</v>
      </c>
      <c r="R12" s="8">
        <v>392</v>
      </c>
      <c r="S12" s="8">
        <v>256</v>
      </c>
      <c r="T12" s="8">
        <v>591</v>
      </c>
      <c r="U12" s="8">
        <v>332</v>
      </c>
      <c r="V12" s="8">
        <v>630</v>
      </c>
      <c r="W12" s="8">
        <v>321</v>
      </c>
      <c r="X12" s="8">
        <v>44</v>
      </c>
      <c r="Y12" s="8">
        <v>133</v>
      </c>
      <c r="Z12" s="8">
        <v>48</v>
      </c>
      <c r="AA12" s="8">
        <v>278</v>
      </c>
      <c r="AB12" s="8">
        <v>159</v>
      </c>
      <c r="AC12" s="8">
        <v>165</v>
      </c>
      <c r="AJ12" s="8">
        <v>0</v>
      </c>
      <c r="AK12" s="8">
        <v>0</v>
      </c>
      <c r="AL12" s="8">
        <v>0</v>
      </c>
      <c r="AM12" s="8">
        <v>0</v>
      </c>
      <c r="AN12" s="8">
        <v>0</v>
      </c>
      <c r="AO12" s="8">
        <v>0</v>
      </c>
    </row>
    <row r="13" spans="1:41">
      <c r="A13" s="7">
        <v>42969</v>
      </c>
      <c r="B13" s="8" t="s">
        <v>65</v>
      </c>
      <c r="C13" s="8">
        <v>960</v>
      </c>
      <c r="D13" s="8">
        <v>2240</v>
      </c>
      <c r="E13" s="8">
        <v>1440</v>
      </c>
      <c r="K13" s="8">
        <v>270</v>
      </c>
      <c r="P13" s="8">
        <v>270</v>
      </c>
      <c r="Q13" s="8">
        <v>80</v>
      </c>
      <c r="X13" s="8">
        <v>200</v>
      </c>
      <c r="Y13" s="8">
        <v>240</v>
      </c>
      <c r="Z13" s="8">
        <v>280</v>
      </c>
      <c r="AC13" s="8">
        <v>40</v>
      </c>
    </row>
    <row r="14" spans="1:41">
      <c r="A14" s="7">
        <v>42969</v>
      </c>
      <c r="B14" s="8" t="s">
        <v>64</v>
      </c>
      <c r="C14" s="8">
        <v>4120</v>
      </c>
      <c r="D14" s="8">
        <v>2560</v>
      </c>
      <c r="E14" s="8">
        <v>2320</v>
      </c>
      <c r="F14" s="8">
        <v>383</v>
      </c>
      <c r="G14" s="8">
        <v>294</v>
      </c>
      <c r="H14" s="8">
        <v>416</v>
      </c>
      <c r="I14" s="8">
        <v>98</v>
      </c>
      <c r="J14" s="8">
        <v>168</v>
      </c>
      <c r="K14" s="8">
        <v>4</v>
      </c>
      <c r="L14" s="8">
        <v>152</v>
      </c>
      <c r="M14" s="8">
        <v>72</v>
      </c>
      <c r="N14" s="8">
        <v>179</v>
      </c>
      <c r="O14" s="8">
        <v>334</v>
      </c>
      <c r="P14" s="8">
        <v>61</v>
      </c>
      <c r="Q14" s="8">
        <v>45</v>
      </c>
      <c r="R14" s="8">
        <v>392</v>
      </c>
      <c r="S14" s="8">
        <v>256</v>
      </c>
      <c r="T14" s="8">
        <v>591</v>
      </c>
      <c r="U14" s="8">
        <v>332</v>
      </c>
      <c r="V14" s="8">
        <v>630</v>
      </c>
      <c r="W14" s="8">
        <v>321</v>
      </c>
      <c r="X14" s="8">
        <v>44</v>
      </c>
      <c r="Y14" s="8">
        <v>133</v>
      </c>
      <c r="Z14" s="8">
        <v>48</v>
      </c>
      <c r="AA14" s="8">
        <v>278</v>
      </c>
      <c r="AB14" s="8">
        <v>159</v>
      </c>
      <c r="AC14" s="8">
        <v>165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</row>
    <row r="15" spans="1:41">
      <c r="A15" s="7">
        <v>42969</v>
      </c>
      <c r="B15" s="8" t="s">
        <v>65</v>
      </c>
      <c r="C15" s="8">
        <v>960</v>
      </c>
      <c r="D15" s="8">
        <v>2240</v>
      </c>
      <c r="E15" s="8">
        <v>1440</v>
      </c>
      <c r="K15" s="8">
        <v>270</v>
      </c>
      <c r="P15" s="8">
        <v>270</v>
      </c>
      <c r="Q15" s="8">
        <v>80</v>
      </c>
      <c r="X15" s="8">
        <v>200</v>
      </c>
      <c r="Y15" s="8">
        <v>240</v>
      </c>
      <c r="Z15" s="8">
        <v>280</v>
      </c>
      <c r="AC15" s="8">
        <v>40</v>
      </c>
    </row>
    <row r="16" spans="1:41">
      <c r="A16" s="7">
        <v>42975</v>
      </c>
      <c r="B16" s="8" t="s">
        <v>64</v>
      </c>
      <c r="C16" s="8">
        <v>3720</v>
      </c>
      <c r="D16" s="8">
        <v>3360</v>
      </c>
      <c r="E16" s="8">
        <v>1600</v>
      </c>
      <c r="F16" s="8">
        <v>366</v>
      </c>
      <c r="G16" s="8">
        <v>290</v>
      </c>
      <c r="H16" s="8">
        <v>356</v>
      </c>
      <c r="I16" s="8">
        <v>90</v>
      </c>
      <c r="J16" s="8">
        <v>154</v>
      </c>
      <c r="K16" s="8">
        <v>0</v>
      </c>
      <c r="L16" s="8">
        <v>152</v>
      </c>
      <c r="M16" s="8">
        <v>71</v>
      </c>
      <c r="N16" s="8">
        <v>179</v>
      </c>
      <c r="O16" s="8">
        <v>304</v>
      </c>
      <c r="P16" s="8">
        <v>25</v>
      </c>
      <c r="Q16" s="8">
        <v>0</v>
      </c>
      <c r="R16" s="8">
        <v>369</v>
      </c>
      <c r="S16" s="8">
        <v>246</v>
      </c>
      <c r="T16" s="8">
        <v>375</v>
      </c>
      <c r="U16" s="8">
        <v>318</v>
      </c>
      <c r="V16" s="8">
        <v>564</v>
      </c>
      <c r="W16" s="8">
        <v>316</v>
      </c>
      <c r="X16" s="8">
        <v>241</v>
      </c>
      <c r="Y16" s="8">
        <v>373</v>
      </c>
      <c r="Z16" s="8">
        <v>326</v>
      </c>
      <c r="AA16" s="8">
        <v>277</v>
      </c>
      <c r="AB16" s="8">
        <v>158</v>
      </c>
      <c r="AC16" s="8">
        <v>204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</row>
    <row r="17" spans="1:41">
      <c r="A17" s="7">
        <v>42975</v>
      </c>
      <c r="B17" s="8" t="s">
        <v>65</v>
      </c>
      <c r="C17" s="8">
        <v>1440</v>
      </c>
      <c r="D17" s="8">
        <v>1680</v>
      </c>
      <c r="E17" s="8">
        <v>2160</v>
      </c>
      <c r="K17" s="8">
        <v>200</v>
      </c>
      <c r="O17" s="8">
        <v>135</v>
      </c>
      <c r="P17" s="8">
        <v>405</v>
      </c>
      <c r="Q17" s="8">
        <v>495</v>
      </c>
    </row>
    <row r="18" spans="1:41">
      <c r="A18" s="7">
        <v>42986</v>
      </c>
      <c r="B18" s="8" t="s">
        <v>64</v>
      </c>
      <c r="C18" s="8">
        <v>3280</v>
      </c>
      <c r="D18" s="8">
        <v>3320</v>
      </c>
      <c r="E18" s="8">
        <v>2240</v>
      </c>
      <c r="F18" s="8">
        <v>280</v>
      </c>
      <c r="G18" s="8">
        <v>200</v>
      </c>
      <c r="H18" s="8">
        <v>200</v>
      </c>
      <c r="I18" s="8">
        <v>82</v>
      </c>
      <c r="J18" s="8">
        <v>131</v>
      </c>
      <c r="K18" s="8">
        <v>168</v>
      </c>
      <c r="L18" s="8">
        <v>152</v>
      </c>
      <c r="M18" s="8">
        <v>72</v>
      </c>
      <c r="N18" s="8">
        <v>178</v>
      </c>
      <c r="O18" s="8">
        <v>360</v>
      </c>
      <c r="P18" s="8">
        <v>315</v>
      </c>
      <c r="Q18" s="8">
        <v>405</v>
      </c>
      <c r="R18" s="8">
        <v>333</v>
      </c>
      <c r="S18" s="8">
        <v>223</v>
      </c>
      <c r="T18" s="8">
        <v>554</v>
      </c>
      <c r="U18" s="8">
        <v>304</v>
      </c>
      <c r="V18" s="8">
        <v>568</v>
      </c>
      <c r="W18" s="8">
        <v>324</v>
      </c>
      <c r="X18" s="8">
        <v>80</v>
      </c>
      <c r="Y18" s="8">
        <v>344</v>
      </c>
      <c r="Z18" s="8">
        <v>270</v>
      </c>
      <c r="AA18" s="8">
        <v>276</v>
      </c>
      <c r="AB18" s="8">
        <v>159</v>
      </c>
      <c r="AC18" s="8">
        <v>200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</row>
    <row r="19" spans="1:41">
      <c r="A19" s="7">
        <v>42986</v>
      </c>
      <c r="B19" s="8" t="s">
        <v>65</v>
      </c>
      <c r="C19" s="8">
        <v>2880</v>
      </c>
      <c r="D19" s="8">
        <v>2800</v>
      </c>
      <c r="E19" s="8">
        <v>2880</v>
      </c>
      <c r="X19" s="8">
        <v>240</v>
      </c>
      <c r="Y19" s="8">
        <v>60</v>
      </c>
      <c r="Z19" s="8">
        <v>240</v>
      </c>
      <c r="AA19" s="8">
        <v>0</v>
      </c>
      <c r="AB19" s="8">
        <v>40</v>
      </c>
      <c r="AC19" s="8">
        <v>80</v>
      </c>
    </row>
    <row r="20" spans="1:41">
      <c r="A20" s="7">
        <v>42993</v>
      </c>
      <c r="B20" s="8" t="s">
        <v>64</v>
      </c>
      <c r="C20" s="8">
        <v>3125</v>
      </c>
      <c r="D20" s="8">
        <v>3115</v>
      </c>
      <c r="E20" s="8">
        <v>2360</v>
      </c>
      <c r="F20" s="8">
        <v>345</v>
      </c>
      <c r="G20" s="8">
        <v>243</v>
      </c>
      <c r="H20" s="8">
        <v>235</v>
      </c>
      <c r="I20" s="8">
        <v>82</v>
      </c>
      <c r="J20" s="8">
        <v>132</v>
      </c>
      <c r="K20" s="8">
        <v>168</v>
      </c>
      <c r="L20" s="8">
        <v>152</v>
      </c>
      <c r="M20" s="8">
        <v>72</v>
      </c>
      <c r="N20" s="8">
        <v>178</v>
      </c>
      <c r="O20" s="8">
        <v>416</v>
      </c>
      <c r="P20" s="8">
        <v>346</v>
      </c>
      <c r="Q20" s="8">
        <v>374</v>
      </c>
      <c r="R20" s="8">
        <v>333</v>
      </c>
      <c r="S20" s="8">
        <v>223</v>
      </c>
      <c r="T20" s="8">
        <v>553</v>
      </c>
      <c r="U20" s="8">
        <v>304</v>
      </c>
      <c r="V20" s="8">
        <v>517</v>
      </c>
      <c r="W20" s="8">
        <v>330</v>
      </c>
      <c r="X20" s="8">
        <v>78</v>
      </c>
      <c r="Y20" s="8">
        <v>345</v>
      </c>
      <c r="Z20" s="8">
        <v>269</v>
      </c>
      <c r="AA20" s="8">
        <v>276</v>
      </c>
      <c r="AB20" s="8">
        <v>199</v>
      </c>
      <c r="AC20" s="8">
        <v>203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</row>
    <row r="21" spans="1:41">
      <c r="A21" s="7">
        <v>42993</v>
      </c>
      <c r="B21" s="8" t="s">
        <v>65</v>
      </c>
      <c r="C21" s="8">
        <v>2880</v>
      </c>
      <c r="D21" s="8">
        <v>3360</v>
      </c>
      <c r="E21" s="8">
        <v>4000</v>
      </c>
      <c r="F21" s="8">
        <v>120</v>
      </c>
      <c r="G21" s="8">
        <v>120</v>
      </c>
      <c r="H21" s="8">
        <v>320</v>
      </c>
      <c r="X21" s="8">
        <v>240</v>
      </c>
      <c r="Y21" s="8">
        <v>60</v>
      </c>
      <c r="Z21" s="8">
        <v>240</v>
      </c>
      <c r="AB21" s="8">
        <v>40</v>
      </c>
      <c r="AC21" s="8">
        <v>80</v>
      </c>
    </row>
    <row r="22" spans="1:41">
      <c r="A22" s="7">
        <v>42996</v>
      </c>
      <c r="B22" s="8" t="s">
        <v>64</v>
      </c>
      <c r="C22" s="8">
        <v>3220</v>
      </c>
      <c r="D22" s="8">
        <v>2164</v>
      </c>
      <c r="E22" s="8">
        <v>2367</v>
      </c>
      <c r="F22" s="8">
        <v>340</v>
      </c>
      <c r="G22" s="8">
        <v>199</v>
      </c>
      <c r="H22" s="8">
        <v>130</v>
      </c>
      <c r="I22" s="8">
        <v>82</v>
      </c>
      <c r="J22" s="8">
        <v>132</v>
      </c>
      <c r="K22" s="8">
        <v>168</v>
      </c>
      <c r="L22" s="8">
        <v>155</v>
      </c>
      <c r="M22" s="8">
        <v>72</v>
      </c>
      <c r="N22" s="8">
        <v>178</v>
      </c>
      <c r="O22" s="8">
        <v>312</v>
      </c>
      <c r="P22" s="8">
        <v>248</v>
      </c>
      <c r="Q22" s="8">
        <v>328</v>
      </c>
      <c r="R22" s="8">
        <v>272</v>
      </c>
      <c r="S22" s="8">
        <v>216</v>
      </c>
      <c r="T22" s="8">
        <v>508</v>
      </c>
      <c r="U22" s="8">
        <v>291</v>
      </c>
      <c r="V22" s="8">
        <v>538</v>
      </c>
      <c r="W22" s="8">
        <v>322</v>
      </c>
      <c r="X22" s="8">
        <v>0</v>
      </c>
      <c r="Y22" s="8">
        <v>220</v>
      </c>
      <c r="Z22" s="8">
        <v>195</v>
      </c>
      <c r="AA22" s="8">
        <v>264</v>
      </c>
      <c r="AB22" s="8">
        <v>156</v>
      </c>
      <c r="AC22" s="8">
        <v>201</v>
      </c>
      <c r="AJ22" s="8">
        <v>0</v>
      </c>
      <c r="AK22" s="8">
        <v>0</v>
      </c>
      <c r="AL22" s="8">
        <v>0</v>
      </c>
      <c r="AM22" s="8">
        <v>0</v>
      </c>
      <c r="AN22" s="8">
        <v>0</v>
      </c>
      <c r="AO22" s="8">
        <v>0</v>
      </c>
    </row>
    <row r="23" spans="1:41">
      <c r="A23" s="7">
        <v>42996</v>
      </c>
      <c r="B23" s="8" t="s">
        <v>65</v>
      </c>
      <c r="C23" s="8">
        <v>1920</v>
      </c>
      <c r="D23" s="8">
        <v>1680</v>
      </c>
      <c r="E23" s="8">
        <v>400</v>
      </c>
      <c r="F23" s="8">
        <v>120</v>
      </c>
      <c r="G23" s="8">
        <v>120</v>
      </c>
      <c r="H23" s="8">
        <v>320</v>
      </c>
      <c r="X23" s="8">
        <v>760</v>
      </c>
      <c r="Y23" s="8">
        <v>160</v>
      </c>
      <c r="Z23" s="8">
        <v>440</v>
      </c>
      <c r="AB23" s="8">
        <v>40</v>
      </c>
      <c r="AC23" s="8">
        <v>80</v>
      </c>
    </row>
    <row r="24" spans="1:41">
      <c r="A24" s="7">
        <v>43000</v>
      </c>
      <c r="B24" s="8" t="s">
        <v>64</v>
      </c>
      <c r="C24" s="8">
        <v>3220</v>
      </c>
      <c r="D24" s="8">
        <v>2164</v>
      </c>
      <c r="E24" s="8">
        <v>2367</v>
      </c>
      <c r="F24" s="8">
        <v>340</v>
      </c>
      <c r="G24" s="8">
        <v>199</v>
      </c>
      <c r="H24" s="8">
        <v>130</v>
      </c>
      <c r="I24" s="8">
        <v>82</v>
      </c>
      <c r="J24" s="8">
        <v>132</v>
      </c>
      <c r="K24" s="8">
        <v>168</v>
      </c>
      <c r="L24" s="8">
        <v>155</v>
      </c>
      <c r="M24" s="8">
        <v>72</v>
      </c>
      <c r="N24" s="8">
        <v>178</v>
      </c>
      <c r="O24" s="8">
        <v>312</v>
      </c>
      <c r="P24" s="8">
        <v>248</v>
      </c>
      <c r="Q24" s="8">
        <v>328</v>
      </c>
      <c r="R24" s="8">
        <v>508</v>
      </c>
      <c r="S24" s="8">
        <v>216</v>
      </c>
      <c r="T24" s="8">
        <v>272</v>
      </c>
      <c r="U24" s="8">
        <v>322</v>
      </c>
      <c r="V24" s="8">
        <v>538</v>
      </c>
      <c r="W24" s="8">
        <v>291</v>
      </c>
      <c r="X24" s="8">
        <v>195</v>
      </c>
      <c r="Y24" s="8">
        <v>220</v>
      </c>
      <c r="Z24" s="8">
        <v>0</v>
      </c>
      <c r="AA24" s="8">
        <v>201</v>
      </c>
      <c r="AB24" s="8">
        <v>156</v>
      </c>
      <c r="AC24" s="8">
        <v>264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</row>
    <row r="25" spans="1:41">
      <c r="A25" s="7">
        <v>43000</v>
      </c>
      <c r="B25" s="8" t="s">
        <v>65</v>
      </c>
      <c r="C25" s="8">
        <v>2400</v>
      </c>
      <c r="D25" s="8">
        <v>3920</v>
      </c>
      <c r="E25" s="8">
        <v>3600</v>
      </c>
      <c r="F25" s="8">
        <v>120</v>
      </c>
      <c r="G25" s="8">
        <v>120</v>
      </c>
      <c r="H25" s="8">
        <v>320</v>
      </c>
      <c r="X25" s="8">
        <v>440</v>
      </c>
      <c r="Y25" s="8">
        <v>160</v>
      </c>
      <c r="Z25" s="8">
        <v>760</v>
      </c>
      <c r="AA25" s="8">
        <v>80</v>
      </c>
      <c r="AB25" s="8">
        <v>40</v>
      </c>
    </row>
    <row r="26" spans="1:41">
      <c r="A26" s="21">
        <v>43000</v>
      </c>
      <c r="B26" s="22" t="s">
        <v>66</v>
      </c>
      <c r="C26" s="22">
        <v>2</v>
      </c>
      <c r="D26" s="22">
        <v>0</v>
      </c>
      <c r="E26" s="22">
        <v>2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J26" s="22" t="e">
        <v>#N/A</v>
      </c>
      <c r="AK26" s="22" t="e">
        <v>#N/A</v>
      </c>
      <c r="AL26" s="22" t="e">
        <v>#N/A</v>
      </c>
      <c r="AM26" s="22" t="e">
        <v>#N/A</v>
      </c>
      <c r="AN26" s="22" t="e">
        <v>#N/A</v>
      </c>
      <c r="AO26" s="22" t="e">
        <v>#N/A</v>
      </c>
    </row>
    <row r="27" spans="1:41">
      <c r="A27" s="7">
        <v>43004</v>
      </c>
      <c r="B27" s="8" t="s">
        <v>64</v>
      </c>
      <c r="C27" s="8">
        <v>3350</v>
      </c>
      <c r="D27" s="8">
        <v>1305</v>
      </c>
      <c r="E27" s="8">
        <v>644</v>
      </c>
      <c r="F27" s="8">
        <v>431</v>
      </c>
      <c r="G27" s="8">
        <v>293</v>
      </c>
      <c r="H27" s="8">
        <v>261</v>
      </c>
      <c r="I27" s="8">
        <v>54</v>
      </c>
      <c r="J27" s="8">
        <v>112</v>
      </c>
      <c r="K27" s="8">
        <v>162</v>
      </c>
      <c r="L27" s="8">
        <v>152</v>
      </c>
      <c r="M27" s="8">
        <v>32</v>
      </c>
      <c r="N27" s="8">
        <v>178</v>
      </c>
      <c r="O27" s="8">
        <v>245</v>
      </c>
      <c r="P27" s="8">
        <v>162</v>
      </c>
      <c r="Q27" s="8">
        <v>239</v>
      </c>
      <c r="R27" s="8">
        <v>363</v>
      </c>
      <c r="S27" s="8">
        <v>202</v>
      </c>
      <c r="T27" s="8">
        <v>242</v>
      </c>
      <c r="U27" s="8">
        <v>309</v>
      </c>
      <c r="V27" s="8">
        <v>529</v>
      </c>
      <c r="W27" s="8">
        <v>280</v>
      </c>
      <c r="X27" s="8">
        <v>168</v>
      </c>
      <c r="Y27" s="8">
        <v>177</v>
      </c>
      <c r="Z27" s="8">
        <v>0</v>
      </c>
      <c r="AA27" s="8">
        <v>200</v>
      </c>
      <c r="AB27" s="8">
        <v>150</v>
      </c>
      <c r="AC27" s="8">
        <v>257</v>
      </c>
      <c r="AJ27" s="8"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</row>
    <row r="28" spans="1:41">
      <c r="A28" s="7">
        <v>43004</v>
      </c>
      <c r="B28" s="8" t="s">
        <v>65</v>
      </c>
      <c r="C28" s="8">
        <v>2400</v>
      </c>
      <c r="D28" s="8">
        <v>3360</v>
      </c>
      <c r="E28" s="8">
        <v>2880</v>
      </c>
      <c r="X28" s="8">
        <v>440</v>
      </c>
      <c r="Y28" s="8">
        <v>160</v>
      </c>
      <c r="Z28" s="8">
        <v>760</v>
      </c>
      <c r="AA28" s="8">
        <v>80</v>
      </c>
      <c r="AB28" s="8">
        <v>40</v>
      </c>
    </row>
    <row r="29" spans="1:41">
      <c r="A29" s="7">
        <v>43004</v>
      </c>
      <c r="B29" s="8" t="s">
        <v>66</v>
      </c>
      <c r="C29" s="8">
        <v>3</v>
      </c>
      <c r="D29" s="8">
        <v>5</v>
      </c>
      <c r="E29" s="8">
        <v>4</v>
      </c>
      <c r="F29" s="8">
        <v>0</v>
      </c>
      <c r="G29" s="8">
        <v>100</v>
      </c>
      <c r="H29" s="8">
        <v>350</v>
      </c>
      <c r="I29" s="8">
        <v>40</v>
      </c>
      <c r="J29" s="8">
        <v>40</v>
      </c>
      <c r="K29" s="8">
        <v>0</v>
      </c>
      <c r="L29" s="8">
        <v>0</v>
      </c>
      <c r="M29" s="8">
        <v>0</v>
      </c>
      <c r="N29" s="8">
        <v>0</v>
      </c>
      <c r="O29" s="8">
        <v>80</v>
      </c>
      <c r="P29" s="8">
        <v>240</v>
      </c>
      <c r="Q29" s="8">
        <v>200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J29" s="8" t="e">
        <v>#N/A</v>
      </c>
      <c r="AK29" s="8" t="e">
        <v>#N/A</v>
      </c>
      <c r="AL29" s="8" t="e">
        <v>#N/A</v>
      </c>
      <c r="AM29" s="8" t="e">
        <v>#N/A</v>
      </c>
      <c r="AN29" s="8" t="e">
        <v>#N/A</v>
      </c>
      <c r="AO29" s="8" t="e">
        <v>#N/A</v>
      </c>
    </row>
    <row r="30" spans="1:41">
      <c r="A30" s="7">
        <v>43007</v>
      </c>
      <c r="B30" s="8" t="s">
        <v>64</v>
      </c>
      <c r="C30" s="8">
        <v>4421</v>
      </c>
      <c r="D30" s="8">
        <v>4251</v>
      </c>
      <c r="E30" s="8">
        <v>3286</v>
      </c>
      <c r="F30" s="8">
        <v>431</v>
      </c>
      <c r="G30" s="8">
        <v>287</v>
      </c>
      <c r="H30" s="8">
        <v>429</v>
      </c>
      <c r="I30" s="8">
        <v>55</v>
      </c>
      <c r="J30" s="8">
        <v>110</v>
      </c>
      <c r="K30" s="8">
        <v>162</v>
      </c>
      <c r="L30" s="8">
        <v>152</v>
      </c>
      <c r="M30" s="8">
        <v>72</v>
      </c>
      <c r="N30" s="8">
        <v>179</v>
      </c>
      <c r="O30" s="8">
        <v>214</v>
      </c>
      <c r="P30" s="8">
        <v>127</v>
      </c>
      <c r="Q30" s="8">
        <v>187</v>
      </c>
      <c r="R30" s="8">
        <v>509</v>
      </c>
      <c r="S30" s="8">
        <v>192</v>
      </c>
      <c r="T30" s="8">
        <v>284</v>
      </c>
      <c r="U30" s="8">
        <v>309</v>
      </c>
      <c r="V30" s="8">
        <v>512</v>
      </c>
      <c r="W30" s="8">
        <v>273</v>
      </c>
      <c r="X30" s="8">
        <v>137</v>
      </c>
      <c r="Y30" s="8">
        <v>161</v>
      </c>
      <c r="Z30" s="8">
        <v>4</v>
      </c>
      <c r="AA30" s="8">
        <v>125</v>
      </c>
      <c r="AB30" s="8">
        <v>148</v>
      </c>
      <c r="AC30" s="8">
        <v>260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</row>
    <row r="31" spans="1:41">
      <c r="A31" s="7">
        <v>43007</v>
      </c>
      <c r="B31" s="8" t="s">
        <v>65</v>
      </c>
      <c r="C31" s="8">
        <v>2800</v>
      </c>
      <c r="D31" s="8">
        <v>1920</v>
      </c>
      <c r="E31" s="8">
        <v>2880</v>
      </c>
      <c r="G31" s="8">
        <v>120</v>
      </c>
      <c r="H31" s="8">
        <v>350</v>
      </c>
      <c r="O31" s="8">
        <v>90</v>
      </c>
      <c r="P31" s="8">
        <v>270</v>
      </c>
      <c r="Q31" s="8">
        <v>225</v>
      </c>
      <c r="X31" s="8">
        <v>440</v>
      </c>
      <c r="Y31" s="8">
        <v>160</v>
      </c>
      <c r="Z31" s="8">
        <v>750</v>
      </c>
      <c r="AA31" s="8">
        <v>80</v>
      </c>
      <c r="AB31" s="8">
        <v>40</v>
      </c>
    </row>
    <row r="32" spans="1:41">
      <c r="A32" s="7">
        <v>43007</v>
      </c>
      <c r="B32" s="8" t="s">
        <v>66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80</v>
      </c>
      <c r="J32" s="8">
        <v>80</v>
      </c>
      <c r="K32" s="8">
        <v>0</v>
      </c>
      <c r="L32" s="8">
        <v>0</v>
      </c>
      <c r="M32" s="8">
        <v>0</v>
      </c>
      <c r="N32" s="8">
        <v>0</v>
      </c>
      <c r="O32" s="8">
        <v>160</v>
      </c>
      <c r="P32" s="8">
        <v>120</v>
      </c>
      <c r="Q32" s="8">
        <v>80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J32" s="8" t="e">
        <v>#N/A</v>
      </c>
      <c r="AK32" s="8" t="e">
        <v>#N/A</v>
      </c>
      <c r="AL32" s="8" t="e">
        <v>#N/A</v>
      </c>
      <c r="AM32" s="8" t="e">
        <v>#N/A</v>
      </c>
      <c r="AN32" s="8" t="e">
        <v>#N/A</v>
      </c>
      <c r="AO32" s="8" t="e">
        <v>#N/A</v>
      </c>
    </row>
    <row r="33" spans="1:41">
      <c r="A33" s="7">
        <v>43011</v>
      </c>
      <c r="B33" s="8" t="s">
        <v>64</v>
      </c>
      <c r="C33" s="8">
        <v>4120</v>
      </c>
      <c r="D33" s="8">
        <v>4916</v>
      </c>
      <c r="E33" s="8">
        <v>4286</v>
      </c>
      <c r="F33" s="8">
        <v>410</v>
      </c>
      <c r="G33" s="8">
        <v>395</v>
      </c>
      <c r="H33" s="8">
        <v>555</v>
      </c>
      <c r="I33" s="8">
        <v>54</v>
      </c>
      <c r="J33" s="8">
        <v>108</v>
      </c>
      <c r="K33" s="8">
        <v>106</v>
      </c>
      <c r="L33" s="8">
        <v>152</v>
      </c>
      <c r="M33" s="8">
        <v>72</v>
      </c>
      <c r="N33" s="8">
        <v>175</v>
      </c>
      <c r="O33" s="8">
        <v>191</v>
      </c>
      <c r="P33" s="8">
        <v>109</v>
      </c>
      <c r="Q33" s="8">
        <v>169</v>
      </c>
      <c r="R33" s="8">
        <v>438</v>
      </c>
      <c r="S33" s="8">
        <v>179</v>
      </c>
      <c r="T33" s="8">
        <v>222</v>
      </c>
      <c r="U33" s="8">
        <v>307</v>
      </c>
      <c r="V33" s="8">
        <v>503</v>
      </c>
      <c r="W33" s="8">
        <v>263</v>
      </c>
      <c r="X33" s="8">
        <v>291</v>
      </c>
      <c r="Y33" s="8">
        <v>202</v>
      </c>
      <c r="Z33" s="8">
        <v>167</v>
      </c>
      <c r="AA33" s="8">
        <v>196</v>
      </c>
      <c r="AB33" s="8">
        <v>390</v>
      </c>
      <c r="AC33" s="8">
        <v>255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</row>
    <row r="34" spans="1:41">
      <c r="A34" s="7">
        <v>43011</v>
      </c>
      <c r="B34" s="8" t="s">
        <v>65</v>
      </c>
      <c r="C34" s="8">
        <v>1440</v>
      </c>
      <c r="D34" s="8">
        <v>1680</v>
      </c>
      <c r="E34" s="8">
        <v>1440</v>
      </c>
      <c r="I34" s="8">
        <v>80</v>
      </c>
      <c r="J34" s="8">
        <v>80</v>
      </c>
      <c r="O34" s="8">
        <v>225</v>
      </c>
      <c r="P34" s="8">
        <v>405</v>
      </c>
      <c r="Q34" s="8">
        <v>315</v>
      </c>
      <c r="X34" s="8">
        <v>200</v>
      </c>
      <c r="Y34" s="8">
        <v>100</v>
      </c>
      <c r="Z34" s="8">
        <v>520</v>
      </c>
    </row>
    <row r="35" spans="1:41">
      <c r="A35" s="7">
        <v>43011</v>
      </c>
      <c r="B35" s="8" t="s">
        <v>66</v>
      </c>
      <c r="C35" s="8">
        <v>3</v>
      </c>
      <c r="D35" s="8">
        <v>1</v>
      </c>
      <c r="E35" s="8">
        <v>0</v>
      </c>
      <c r="F35" s="8">
        <v>0</v>
      </c>
      <c r="G35" s="8">
        <v>0</v>
      </c>
      <c r="H35" s="8">
        <v>0</v>
      </c>
      <c r="I35" s="8">
        <v>80</v>
      </c>
      <c r="J35" s="8">
        <v>80</v>
      </c>
      <c r="K35" s="8">
        <v>0</v>
      </c>
      <c r="L35" s="8">
        <v>0</v>
      </c>
      <c r="M35" s="8">
        <v>0</v>
      </c>
      <c r="N35" s="8">
        <v>0</v>
      </c>
      <c r="O35" s="8">
        <v>160</v>
      </c>
      <c r="P35" s="8">
        <v>120</v>
      </c>
      <c r="Q35" s="8">
        <v>80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J35" s="8" t="e">
        <v>#N/A</v>
      </c>
      <c r="AK35" s="8" t="e">
        <v>#N/A</v>
      </c>
      <c r="AL35" s="8" t="e">
        <v>#N/A</v>
      </c>
      <c r="AM35" s="8" t="e">
        <v>#N/A</v>
      </c>
      <c r="AN35" s="8" t="e">
        <v>#N/A</v>
      </c>
      <c r="AO35" s="8" t="e">
        <v>#N/A</v>
      </c>
    </row>
    <row r="36" spans="1:41">
      <c r="A36" s="7">
        <v>43012</v>
      </c>
      <c r="B36" s="8" t="s">
        <v>64</v>
      </c>
      <c r="C36" s="8">
        <v>4120</v>
      </c>
      <c r="D36" s="8">
        <v>4916</v>
      </c>
      <c r="E36" s="8">
        <v>4286</v>
      </c>
      <c r="F36" s="8">
        <v>410</v>
      </c>
      <c r="G36" s="8">
        <v>395</v>
      </c>
      <c r="H36" s="8">
        <v>555</v>
      </c>
      <c r="I36" s="8">
        <v>54</v>
      </c>
      <c r="J36" s="8">
        <v>108</v>
      </c>
      <c r="K36" s="8">
        <v>106</v>
      </c>
      <c r="L36" s="8">
        <v>152</v>
      </c>
      <c r="M36" s="8">
        <v>72</v>
      </c>
      <c r="N36" s="8">
        <v>175</v>
      </c>
      <c r="O36" s="8">
        <v>191</v>
      </c>
      <c r="P36" s="8">
        <v>109</v>
      </c>
      <c r="Q36" s="8">
        <v>169</v>
      </c>
      <c r="R36" s="8">
        <v>438</v>
      </c>
      <c r="S36" s="8">
        <v>179</v>
      </c>
      <c r="T36" s="8">
        <v>222</v>
      </c>
      <c r="U36" s="8">
        <v>307</v>
      </c>
      <c r="V36" s="8">
        <v>503</v>
      </c>
      <c r="W36" s="8">
        <v>263</v>
      </c>
      <c r="X36" s="8">
        <v>291</v>
      </c>
      <c r="Y36" s="8">
        <v>202</v>
      </c>
      <c r="Z36" s="8">
        <v>167</v>
      </c>
      <c r="AA36" s="8">
        <v>196</v>
      </c>
      <c r="AB36" s="8">
        <v>390</v>
      </c>
      <c r="AC36" s="8">
        <v>255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</row>
    <row r="37" spans="1:41">
      <c r="A37" s="7">
        <v>43012</v>
      </c>
      <c r="B37" s="8" t="s">
        <v>65</v>
      </c>
      <c r="C37" s="8">
        <v>1440</v>
      </c>
      <c r="D37" s="8">
        <v>1680</v>
      </c>
      <c r="E37" s="8">
        <v>1440</v>
      </c>
      <c r="I37" s="8">
        <v>80</v>
      </c>
      <c r="J37" s="8">
        <v>80</v>
      </c>
      <c r="O37" s="8">
        <v>225</v>
      </c>
      <c r="P37" s="8">
        <v>405</v>
      </c>
      <c r="Q37" s="8">
        <v>315</v>
      </c>
      <c r="X37" s="8">
        <v>200</v>
      </c>
      <c r="Y37" s="8">
        <v>100</v>
      </c>
      <c r="Z37" s="8">
        <v>520</v>
      </c>
    </row>
    <row r="38" spans="1:41">
      <c r="A38" s="7">
        <v>43012</v>
      </c>
      <c r="B38" s="8" t="s">
        <v>66</v>
      </c>
      <c r="C38" s="8">
        <v>3</v>
      </c>
      <c r="D38" s="8">
        <v>1</v>
      </c>
      <c r="E38" s="8">
        <v>0</v>
      </c>
      <c r="F38" s="8">
        <v>0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90</v>
      </c>
      <c r="T38" s="8">
        <v>250</v>
      </c>
      <c r="U38" s="8">
        <v>0</v>
      </c>
      <c r="V38" s="8">
        <v>0</v>
      </c>
      <c r="W38" s="8">
        <v>240</v>
      </c>
      <c r="X38" s="8">
        <v>260</v>
      </c>
      <c r="Y38" s="8">
        <v>220</v>
      </c>
      <c r="Z38" s="8">
        <v>200</v>
      </c>
      <c r="AA38" s="8">
        <v>40</v>
      </c>
      <c r="AB38" s="8">
        <v>0</v>
      </c>
      <c r="AC38" s="8">
        <v>0</v>
      </c>
      <c r="AJ38" s="8" t="e">
        <v>#N/A</v>
      </c>
      <c r="AK38" s="8" t="e">
        <v>#N/A</v>
      </c>
      <c r="AL38" s="8" t="e">
        <v>#N/A</v>
      </c>
      <c r="AM38" s="8" t="e">
        <v>#N/A</v>
      </c>
      <c r="AN38" s="8" t="e">
        <v>#N/A</v>
      </c>
      <c r="AO38" s="8" t="e">
        <v>#N/A</v>
      </c>
    </row>
    <row r="39" spans="1:41">
      <c r="A39" s="7">
        <v>43017</v>
      </c>
      <c r="B39" s="8" t="s">
        <v>64</v>
      </c>
      <c r="C39" s="8">
        <v>3430</v>
      </c>
      <c r="D39" s="8">
        <v>4648</v>
      </c>
      <c r="E39" s="8">
        <v>3894</v>
      </c>
      <c r="F39" s="8">
        <v>396</v>
      </c>
      <c r="G39" s="8">
        <v>381</v>
      </c>
      <c r="H39" s="8">
        <v>444</v>
      </c>
      <c r="I39" s="8">
        <v>53</v>
      </c>
      <c r="J39" s="8">
        <v>108</v>
      </c>
      <c r="K39" s="8">
        <v>140</v>
      </c>
      <c r="L39" s="8">
        <v>152</v>
      </c>
      <c r="M39" s="8">
        <v>72</v>
      </c>
      <c r="N39" s="8">
        <v>178</v>
      </c>
      <c r="O39" s="8">
        <v>238</v>
      </c>
      <c r="P39" s="8">
        <v>262</v>
      </c>
      <c r="Q39" s="8">
        <v>336</v>
      </c>
      <c r="R39" s="8">
        <v>232</v>
      </c>
      <c r="S39" s="8">
        <v>163</v>
      </c>
      <c r="T39" s="8">
        <v>206</v>
      </c>
      <c r="U39" s="8">
        <v>301</v>
      </c>
      <c r="V39" s="8">
        <v>500</v>
      </c>
      <c r="W39" s="8">
        <v>249</v>
      </c>
      <c r="X39" s="8">
        <v>247</v>
      </c>
      <c r="Y39" s="8">
        <v>195</v>
      </c>
      <c r="Z39" s="8">
        <v>150</v>
      </c>
      <c r="AA39" s="8">
        <v>198</v>
      </c>
      <c r="AB39" s="8">
        <v>190</v>
      </c>
      <c r="AC39" s="8">
        <v>255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</row>
    <row r="40" spans="1:41">
      <c r="A40" s="7">
        <v>43017</v>
      </c>
      <c r="B40" s="8" t="s">
        <v>65</v>
      </c>
      <c r="C40" s="8">
        <v>1440</v>
      </c>
      <c r="D40" s="8">
        <v>560</v>
      </c>
      <c r="I40" s="8">
        <v>80</v>
      </c>
      <c r="J40" s="8">
        <v>80</v>
      </c>
      <c r="O40" s="8">
        <v>135</v>
      </c>
      <c r="P40" s="8">
        <v>135</v>
      </c>
      <c r="Q40" s="8">
        <v>90</v>
      </c>
      <c r="S40" s="8">
        <v>88</v>
      </c>
      <c r="T40" s="8">
        <v>264</v>
      </c>
      <c r="W40" s="8">
        <v>231</v>
      </c>
      <c r="X40" s="8">
        <v>460</v>
      </c>
      <c r="Y40" s="8">
        <v>320</v>
      </c>
      <c r="Z40" s="8">
        <v>720</v>
      </c>
      <c r="AA40" s="8">
        <v>40</v>
      </c>
    </row>
    <row r="41" spans="1:41">
      <c r="A41" s="7">
        <v>43017</v>
      </c>
      <c r="B41" s="8" t="s">
        <v>66</v>
      </c>
      <c r="C41" s="8">
        <v>5</v>
      </c>
      <c r="D41" s="8">
        <v>4</v>
      </c>
      <c r="E41" s="8">
        <v>3</v>
      </c>
      <c r="F41" s="8">
        <v>0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J41" s="8" t="e">
        <v>#N/A</v>
      </c>
      <c r="AK41" s="8" t="e">
        <v>#N/A</v>
      </c>
      <c r="AL41" s="8" t="e">
        <v>#N/A</v>
      </c>
      <c r="AM41" s="8" t="e">
        <v>#N/A</v>
      </c>
      <c r="AN41" s="8" t="e">
        <v>#N/A</v>
      </c>
      <c r="AO41" s="8" t="e">
        <v>#N/A</v>
      </c>
    </row>
    <row r="42" spans="1:41">
      <c r="A42" s="7">
        <v>43024</v>
      </c>
      <c r="B42" s="13" t="s">
        <v>64</v>
      </c>
      <c r="C42" s="23">
        <v>3104</v>
      </c>
      <c r="D42" s="23">
        <v>3455</v>
      </c>
      <c r="E42" s="23">
        <v>2640</v>
      </c>
      <c r="F42" s="23">
        <v>371</v>
      </c>
      <c r="G42" s="23">
        <v>362</v>
      </c>
      <c r="H42" s="23">
        <v>311</v>
      </c>
      <c r="I42" s="23">
        <v>131</v>
      </c>
      <c r="J42" s="23">
        <v>188</v>
      </c>
      <c r="K42" s="23">
        <v>140</v>
      </c>
      <c r="L42" s="23">
        <v>152</v>
      </c>
      <c r="M42" s="23">
        <v>72</v>
      </c>
      <c r="N42" s="23">
        <v>178</v>
      </c>
      <c r="O42" s="23">
        <v>323</v>
      </c>
      <c r="P42" s="23">
        <v>435</v>
      </c>
      <c r="Q42" s="23">
        <v>323</v>
      </c>
      <c r="R42" s="23">
        <v>354</v>
      </c>
      <c r="S42" s="23">
        <v>159</v>
      </c>
      <c r="T42" s="23">
        <v>195</v>
      </c>
      <c r="U42" s="23">
        <v>300</v>
      </c>
      <c r="V42" s="23">
        <v>498</v>
      </c>
      <c r="W42" s="23">
        <v>246</v>
      </c>
      <c r="X42" s="23">
        <v>388</v>
      </c>
      <c r="Y42" s="23">
        <v>224</v>
      </c>
      <c r="Z42" s="23">
        <v>610</v>
      </c>
      <c r="AA42" s="23">
        <v>196</v>
      </c>
      <c r="AB42" s="23">
        <v>190</v>
      </c>
      <c r="AC42" s="23">
        <v>265</v>
      </c>
      <c r="AJ42" s="23">
        <v>0</v>
      </c>
      <c r="AK42" s="23">
        <v>0</v>
      </c>
      <c r="AL42" s="23">
        <v>0</v>
      </c>
      <c r="AM42" s="23">
        <v>0</v>
      </c>
      <c r="AN42" s="23">
        <v>0</v>
      </c>
      <c r="AO42" s="23">
        <v>0</v>
      </c>
    </row>
    <row r="43" spans="1:41">
      <c r="A43" s="7">
        <v>43024</v>
      </c>
      <c r="B43" s="8" t="s">
        <v>65</v>
      </c>
      <c r="C43" s="8">
        <v>1428</v>
      </c>
      <c r="D43" s="8">
        <v>1156</v>
      </c>
      <c r="E43" s="8">
        <v>952</v>
      </c>
      <c r="S43" s="8">
        <v>88</v>
      </c>
      <c r="T43" s="8">
        <v>264</v>
      </c>
      <c r="W43" s="8">
        <v>231</v>
      </c>
      <c r="X43" s="8">
        <v>260</v>
      </c>
      <c r="Y43" s="8">
        <v>220</v>
      </c>
      <c r="Z43" s="8">
        <v>200</v>
      </c>
      <c r="AA43" s="8">
        <v>40</v>
      </c>
    </row>
    <row r="44" spans="1:41">
      <c r="A44" s="7">
        <v>43024</v>
      </c>
      <c r="B44" s="13" t="s">
        <v>66</v>
      </c>
      <c r="C44" s="8">
        <v>3</v>
      </c>
      <c r="D44" s="8">
        <v>3</v>
      </c>
      <c r="E44" s="8">
        <v>3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0</v>
      </c>
      <c r="AB44" s="8">
        <v>0</v>
      </c>
      <c r="AC44" s="8">
        <v>0</v>
      </c>
      <c r="AJ44" s="8" t="e">
        <v>#N/A</v>
      </c>
      <c r="AK44" s="8" t="e">
        <v>#N/A</v>
      </c>
      <c r="AL44" s="8" t="e">
        <v>#N/A</v>
      </c>
      <c r="AM44" s="8" t="e">
        <v>#N/A</v>
      </c>
      <c r="AN44" s="8" t="e">
        <v>#N/A</v>
      </c>
      <c r="AO44" s="8" t="e">
        <v>#N/A</v>
      </c>
    </row>
    <row r="45" spans="1:41">
      <c r="A45" s="7">
        <v>43031</v>
      </c>
      <c r="B45" s="8" t="s">
        <v>64</v>
      </c>
      <c r="C45" s="8">
        <v>2980</v>
      </c>
      <c r="D45" s="8">
        <v>2584</v>
      </c>
      <c r="E45" s="8">
        <v>1326</v>
      </c>
      <c r="F45" s="8">
        <v>346</v>
      </c>
      <c r="G45" s="8">
        <v>320</v>
      </c>
      <c r="H45" s="8">
        <v>222</v>
      </c>
      <c r="I45" s="8">
        <v>127</v>
      </c>
      <c r="J45" s="8">
        <v>142</v>
      </c>
      <c r="K45" s="8">
        <v>125</v>
      </c>
      <c r="L45" s="8">
        <v>151</v>
      </c>
      <c r="M45" s="8">
        <v>70</v>
      </c>
      <c r="N45" s="8">
        <v>178</v>
      </c>
      <c r="O45" s="8">
        <v>224</v>
      </c>
      <c r="P45" s="8">
        <v>319</v>
      </c>
      <c r="Q45" s="8">
        <v>296</v>
      </c>
      <c r="R45" s="8">
        <v>372</v>
      </c>
      <c r="S45" s="8">
        <v>139</v>
      </c>
      <c r="T45" s="8">
        <v>180</v>
      </c>
      <c r="U45" s="8">
        <v>299</v>
      </c>
      <c r="V45" s="8">
        <v>475</v>
      </c>
      <c r="W45" s="8">
        <v>241</v>
      </c>
      <c r="X45" s="8">
        <v>344</v>
      </c>
      <c r="Y45" s="8">
        <v>218</v>
      </c>
      <c r="Z45" s="8">
        <v>578</v>
      </c>
      <c r="AA45" s="8">
        <v>185</v>
      </c>
      <c r="AB45" s="8">
        <v>147</v>
      </c>
      <c r="AC45" s="8">
        <v>253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</row>
    <row r="46" spans="1:41">
      <c r="A46" s="7">
        <v>43031</v>
      </c>
      <c r="B46" s="8" t="s">
        <v>65</v>
      </c>
      <c r="C46" s="8">
        <v>2856</v>
      </c>
      <c r="D46" s="8">
        <v>2312</v>
      </c>
      <c r="E46" s="8">
        <v>2380</v>
      </c>
      <c r="F46" s="8">
        <v>0</v>
      </c>
      <c r="G46" s="8">
        <v>0</v>
      </c>
      <c r="H46" s="8">
        <v>320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260</v>
      </c>
      <c r="Y46" s="8">
        <v>220</v>
      </c>
      <c r="Z46" s="8">
        <v>200</v>
      </c>
      <c r="AA46" s="8">
        <v>40</v>
      </c>
      <c r="AB46" s="8">
        <v>0</v>
      </c>
      <c r="AC46" s="8">
        <v>0</v>
      </c>
    </row>
    <row r="47" spans="1:41">
      <c r="A47" s="7">
        <v>43031</v>
      </c>
      <c r="B47" s="8" t="s">
        <v>66</v>
      </c>
      <c r="C47" s="8">
        <v>3</v>
      </c>
      <c r="D47" s="8">
        <v>4</v>
      </c>
      <c r="E47" s="8">
        <v>3</v>
      </c>
      <c r="F47" s="8">
        <v>0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  <c r="AC47" s="8">
        <v>0</v>
      </c>
      <c r="AJ47" s="8" t="e">
        <v>#N/A</v>
      </c>
      <c r="AK47" s="8" t="e">
        <v>#N/A</v>
      </c>
      <c r="AL47" s="8" t="e">
        <v>#N/A</v>
      </c>
      <c r="AM47" s="8" t="e">
        <v>#N/A</v>
      </c>
      <c r="AN47" s="8" t="e">
        <v>#N/A</v>
      </c>
      <c r="AO47" s="8" t="e">
        <v>#N/A</v>
      </c>
    </row>
    <row r="48" spans="1:41">
      <c r="A48" s="7">
        <v>43038</v>
      </c>
      <c r="B48" s="8" t="s">
        <v>64</v>
      </c>
      <c r="C48" s="8">
        <v>3350</v>
      </c>
      <c r="D48" s="8">
        <v>2618</v>
      </c>
      <c r="E48" s="8">
        <v>1734</v>
      </c>
      <c r="F48" s="8">
        <v>319</v>
      </c>
      <c r="G48" s="8">
        <v>260</v>
      </c>
      <c r="H48" s="8">
        <v>428</v>
      </c>
      <c r="I48" s="8">
        <v>125</v>
      </c>
      <c r="J48" s="8">
        <v>174</v>
      </c>
      <c r="K48" s="8">
        <v>122</v>
      </c>
      <c r="L48" s="8">
        <v>169</v>
      </c>
      <c r="M48" s="8">
        <v>70</v>
      </c>
      <c r="N48" s="8">
        <v>178</v>
      </c>
      <c r="O48" s="8">
        <v>166</v>
      </c>
      <c r="P48" s="8">
        <v>248</v>
      </c>
      <c r="Q48" s="8">
        <v>217</v>
      </c>
      <c r="R48" s="8">
        <v>352</v>
      </c>
      <c r="S48" s="8">
        <v>211</v>
      </c>
      <c r="T48" s="8">
        <v>238</v>
      </c>
      <c r="U48" s="8">
        <v>295</v>
      </c>
      <c r="V48" s="8">
        <v>494</v>
      </c>
      <c r="W48" s="8">
        <v>454</v>
      </c>
      <c r="X48" s="8">
        <v>328</v>
      </c>
      <c r="Y48" s="8">
        <v>216</v>
      </c>
      <c r="Z48" s="8">
        <v>572</v>
      </c>
      <c r="AA48" s="8">
        <v>176</v>
      </c>
      <c r="AB48" s="8">
        <v>182</v>
      </c>
      <c r="AC48" s="8">
        <v>242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</row>
    <row r="49" spans="1:41">
      <c r="A49" s="7">
        <v>43038</v>
      </c>
      <c r="B49" s="8" t="s">
        <v>65</v>
      </c>
      <c r="C49" s="8">
        <v>2856</v>
      </c>
      <c r="D49" s="8">
        <v>2312</v>
      </c>
      <c r="E49" s="8">
        <v>2142</v>
      </c>
      <c r="F49" s="8">
        <v>0</v>
      </c>
      <c r="G49" s="8">
        <v>0</v>
      </c>
      <c r="H49" s="8">
        <v>0</v>
      </c>
      <c r="I49" s="8">
        <v>0</v>
      </c>
      <c r="J49" s="8">
        <v>0</v>
      </c>
      <c r="K49" s="8">
        <v>80</v>
      </c>
      <c r="L49" s="8">
        <v>0</v>
      </c>
      <c r="M49" s="8">
        <v>0</v>
      </c>
      <c r="N49" s="8">
        <v>0</v>
      </c>
      <c r="O49" s="8">
        <v>135</v>
      </c>
      <c r="P49" s="8">
        <v>180</v>
      </c>
      <c r="Q49" s="8">
        <v>180</v>
      </c>
      <c r="R49" s="8">
        <v>0</v>
      </c>
      <c r="S49" s="8">
        <v>120</v>
      </c>
      <c r="T49" s="8">
        <v>280</v>
      </c>
      <c r="U49" s="8">
        <v>0</v>
      </c>
      <c r="V49" s="8">
        <v>0</v>
      </c>
      <c r="W49" s="8">
        <v>200</v>
      </c>
      <c r="X49" s="8">
        <v>260</v>
      </c>
      <c r="Y49" s="8">
        <v>220</v>
      </c>
      <c r="Z49" s="8">
        <v>200</v>
      </c>
      <c r="AA49" s="8">
        <v>40</v>
      </c>
      <c r="AB49" s="8">
        <v>0</v>
      </c>
      <c r="AC49" s="8">
        <v>0</v>
      </c>
    </row>
    <row r="50" spans="1:41">
      <c r="A50" s="7">
        <v>43038</v>
      </c>
      <c r="B50" s="8" t="s">
        <v>66</v>
      </c>
      <c r="C50" s="8">
        <v>2</v>
      </c>
      <c r="D50" s="8">
        <v>4</v>
      </c>
      <c r="E50" s="8">
        <v>3</v>
      </c>
      <c r="F50" s="8">
        <v>70</v>
      </c>
      <c r="G50" s="8">
        <v>140</v>
      </c>
      <c r="H50" s="8">
        <v>170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J50" s="8" t="e">
        <v>#N/A</v>
      </c>
      <c r="AK50" s="8" t="e">
        <v>#N/A</v>
      </c>
      <c r="AL50" s="8" t="e">
        <v>#N/A</v>
      </c>
      <c r="AM50" s="8" t="e">
        <v>#N/A</v>
      </c>
      <c r="AN50" s="8" t="e">
        <v>#N/A</v>
      </c>
      <c r="AO50" s="8" t="e">
        <v>#N/A</v>
      </c>
    </row>
    <row r="51" spans="1:41">
      <c r="A51" s="7">
        <v>43038</v>
      </c>
      <c r="B51" s="8" t="s">
        <v>64</v>
      </c>
      <c r="C51" s="8">
        <v>3350</v>
      </c>
      <c r="D51" s="8">
        <v>2618</v>
      </c>
      <c r="E51" s="8">
        <v>1734</v>
      </c>
      <c r="F51" s="8">
        <v>319</v>
      </c>
      <c r="G51" s="8">
        <v>260</v>
      </c>
      <c r="H51" s="8">
        <v>428</v>
      </c>
      <c r="I51" s="8">
        <v>125</v>
      </c>
      <c r="J51" s="8">
        <v>174</v>
      </c>
      <c r="K51" s="8">
        <v>122</v>
      </c>
      <c r="L51" s="8">
        <v>169</v>
      </c>
      <c r="M51" s="8">
        <v>70</v>
      </c>
      <c r="N51" s="8">
        <v>178</v>
      </c>
      <c r="O51" s="8">
        <v>166</v>
      </c>
      <c r="P51" s="8">
        <v>248</v>
      </c>
      <c r="Q51" s="8">
        <v>217</v>
      </c>
      <c r="R51" s="8">
        <v>352</v>
      </c>
      <c r="S51" s="8">
        <v>211</v>
      </c>
      <c r="T51" s="8">
        <v>238</v>
      </c>
      <c r="U51" s="8">
        <v>295</v>
      </c>
      <c r="V51" s="8">
        <v>494</v>
      </c>
      <c r="W51" s="8">
        <v>454</v>
      </c>
      <c r="X51" s="8">
        <v>328</v>
      </c>
      <c r="Y51" s="8">
        <v>216</v>
      </c>
      <c r="Z51" s="8">
        <v>572</v>
      </c>
      <c r="AA51" s="8">
        <v>176</v>
      </c>
      <c r="AB51" s="8">
        <v>182</v>
      </c>
      <c r="AC51" s="8">
        <v>242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</row>
    <row r="52" spans="1:41">
      <c r="A52" s="7">
        <v>43038</v>
      </c>
      <c r="B52" s="8" t="s">
        <v>65</v>
      </c>
      <c r="C52" s="8">
        <v>2856</v>
      </c>
      <c r="D52" s="8">
        <v>2312</v>
      </c>
      <c r="E52" s="8">
        <v>2142</v>
      </c>
      <c r="F52" s="8">
        <v>0</v>
      </c>
      <c r="G52" s="8">
        <v>0</v>
      </c>
      <c r="H52" s="8">
        <v>0</v>
      </c>
      <c r="I52" s="8">
        <v>0</v>
      </c>
      <c r="J52" s="8">
        <v>0</v>
      </c>
      <c r="K52" s="8">
        <v>80</v>
      </c>
      <c r="L52" s="8">
        <v>0</v>
      </c>
      <c r="M52" s="8">
        <v>0</v>
      </c>
      <c r="N52" s="8">
        <v>0</v>
      </c>
      <c r="O52" s="8">
        <v>135</v>
      </c>
      <c r="P52" s="8">
        <v>180</v>
      </c>
      <c r="Q52" s="8">
        <v>180</v>
      </c>
      <c r="R52" s="8">
        <v>0</v>
      </c>
      <c r="S52" s="8">
        <v>120</v>
      </c>
      <c r="T52" s="8">
        <v>280</v>
      </c>
      <c r="U52" s="8">
        <v>0</v>
      </c>
      <c r="V52" s="8">
        <v>0</v>
      </c>
      <c r="W52" s="8">
        <v>200</v>
      </c>
      <c r="X52" s="8">
        <v>260</v>
      </c>
      <c r="Y52" s="8">
        <v>220</v>
      </c>
      <c r="Z52" s="8">
        <v>200</v>
      </c>
      <c r="AA52" s="8">
        <v>40</v>
      </c>
      <c r="AB52" s="8">
        <v>0</v>
      </c>
      <c r="AC52" s="8">
        <v>0</v>
      </c>
    </row>
    <row r="53" spans="1:41">
      <c r="A53" s="7">
        <v>43038</v>
      </c>
      <c r="B53" s="8" t="s">
        <v>66</v>
      </c>
      <c r="C53" s="8">
        <v>2</v>
      </c>
      <c r="D53" s="8">
        <v>4</v>
      </c>
      <c r="E53" s="8">
        <v>3</v>
      </c>
      <c r="F53" s="8">
        <v>70</v>
      </c>
      <c r="G53" s="8">
        <v>140</v>
      </c>
      <c r="H53" s="8">
        <v>170</v>
      </c>
      <c r="I53" s="8">
        <v>0</v>
      </c>
      <c r="J53" s="8">
        <v>0</v>
      </c>
      <c r="K53" s="8">
        <v>0</v>
      </c>
      <c r="L53" s="8"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J53" s="8" t="e">
        <v>#N/A</v>
      </c>
      <c r="AK53" s="8" t="e">
        <v>#N/A</v>
      </c>
      <c r="AL53" s="8" t="e">
        <v>#N/A</v>
      </c>
      <c r="AM53" s="8" t="e">
        <v>#N/A</v>
      </c>
      <c r="AN53" s="8" t="e">
        <v>#N/A</v>
      </c>
      <c r="AO53" s="8" t="e">
        <v>#N/A</v>
      </c>
    </row>
    <row r="54" spans="1:41">
      <c r="A54" s="7">
        <v>43045</v>
      </c>
      <c r="B54" s="8" t="s">
        <v>64</v>
      </c>
      <c r="C54" s="8">
        <v>3824</v>
      </c>
      <c r="D54" s="8">
        <v>2992</v>
      </c>
      <c r="E54" s="8">
        <v>1836</v>
      </c>
      <c r="F54" s="8">
        <v>264</v>
      </c>
      <c r="G54" s="8">
        <v>244</v>
      </c>
      <c r="H54" s="8">
        <v>365</v>
      </c>
      <c r="I54" s="8">
        <v>112</v>
      </c>
      <c r="J54" s="8">
        <v>163</v>
      </c>
      <c r="K54" s="8">
        <v>193</v>
      </c>
      <c r="L54" s="8">
        <v>151</v>
      </c>
      <c r="M54" s="8">
        <v>70</v>
      </c>
      <c r="N54" s="8">
        <v>178</v>
      </c>
      <c r="O54" s="8">
        <v>253</v>
      </c>
      <c r="P54" s="8">
        <v>367</v>
      </c>
      <c r="Q54" s="8">
        <v>330</v>
      </c>
      <c r="R54" s="8">
        <v>308</v>
      </c>
      <c r="S54" s="8">
        <v>185</v>
      </c>
      <c r="T54" s="8">
        <v>396</v>
      </c>
      <c r="U54" s="8">
        <v>288</v>
      </c>
      <c r="V54" s="8">
        <v>490</v>
      </c>
      <c r="W54" s="8">
        <v>433</v>
      </c>
      <c r="X54" s="8">
        <v>540</v>
      </c>
      <c r="Y54" s="8">
        <v>434</v>
      </c>
      <c r="Z54" s="8">
        <v>746</v>
      </c>
      <c r="AA54" s="8">
        <v>210</v>
      </c>
      <c r="AB54" s="8">
        <v>182</v>
      </c>
      <c r="AC54" s="8">
        <v>242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</row>
    <row r="55" spans="1:41">
      <c r="A55" s="7">
        <v>43045</v>
      </c>
      <c r="B55" s="8" t="s">
        <v>65</v>
      </c>
      <c r="C55" s="8">
        <v>1428</v>
      </c>
      <c r="D55" s="8">
        <v>2890</v>
      </c>
      <c r="E55" s="8">
        <v>2142</v>
      </c>
      <c r="F55" s="8">
        <v>80</v>
      </c>
      <c r="G55" s="8">
        <v>160</v>
      </c>
      <c r="H55" s="8">
        <v>160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132</v>
      </c>
      <c r="T55" s="8">
        <v>264</v>
      </c>
      <c r="U55" s="8">
        <v>0</v>
      </c>
      <c r="V55" s="8">
        <v>0</v>
      </c>
      <c r="W55" s="8">
        <v>198</v>
      </c>
      <c r="X55" s="8">
        <v>0</v>
      </c>
      <c r="Y55" s="8">
        <v>0</v>
      </c>
      <c r="Z55" s="8">
        <v>0</v>
      </c>
      <c r="AA55" s="8">
        <v>0</v>
      </c>
      <c r="AB55" s="8">
        <v>0</v>
      </c>
      <c r="AC55" s="8">
        <v>0</v>
      </c>
    </row>
    <row r="56" spans="1:41">
      <c r="A56" s="7">
        <v>43045</v>
      </c>
      <c r="B56" s="8" t="s">
        <v>66</v>
      </c>
      <c r="C56" s="8">
        <v>4</v>
      </c>
      <c r="D56" s="8">
        <v>3</v>
      </c>
      <c r="E56" s="8">
        <v>3</v>
      </c>
      <c r="F56" s="8">
        <v>0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0</v>
      </c>
      <c r="O56" s="8">
        <v>0</v>
      </c>
      <c r="P56" s="8">
        <v>0</v>
      </c>
      <c r="Q56" s="8">
        <v>0</v>
      </c>
      <c r="R56" s="8">
        <v>0</v>
      </c>
      <c r="S56" s="8">
        <v>0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8">
        <v>0</v>
      </c>
      <c r="AC56" s="8">
        <v>0</v>
      </c>
      <c r="AJ56" s="8" t="e">
        <v>#N/A</v>
      </c>
      <c r="AK56" s="8" t="e">
        <v>#N/A</v>
      </c>
      <c r="AL56" s="8" t="e">
        <v>#N/A</v>
      </c>
      <c r="AM56" s="8" t="e">
        <v>#N/A</v>
      </c>
      <c r="AN56" s="8" t="e">
        <v>#N/A</v>
      </c>
      <c r="AO56" s="8" t="e">
        <v>#N/A</v>
      </c>
    </row>
    <row r="57" spans="1:41">
      <c r="A57" s="7">
        <v>43052</v>
      </c>
      <c r="B57" s="8" t="s">
        <v>64</v>
      </c>
      <c r="C57" s="8">
        <v>2828</v>
      </c>
      <c r="D57" s="8">
        <v>2525</v>
      </c>
      <c r="E57" s="8">
        <v>1160</v>
      </c>
      <c r="F57" s="8">
        <v>293</v>
      </c>
      <c r="G57" s="8">
        <v>317</v>
      </c>
      <c r="H57" s="8">
        <v>443</v>
      </c>
      <c r="I57" s="8">
        <v>150</v>
      </c>
      <c r="J57" s="8">
        <v>112</v>
      </c>
      <c r="K57" s="8">
        <v>191</v>
      </c>
      <c r="L57" s="8">
        <v>153</v>
      </c>
      <c r="M57" s="8">
        <v>70</v>
      </c>
      <c r="N57" s="8">
        <v>177</v>
      </c>
      <c r="O57" s="8">
        <v>209</v>
      </c>
      <c r="P57" s="8">
        <v>301</v>
      </c>
      <c r="Q57" s="8">
        <v>272</v>
      </c>
      <c r="R57" s="8">
        <v>297</v>
      </c>
      <c r="S57" s="8">
        <v>330</v>
      </c>
      <c r="T57" s="8">
        <v>614</v>
      </c>
      <c r="U57" s="8">
        <v>286</v>
      </c>
      <c r="V57" s="8">
        <v>456</v>
      </c>
      <c r="W57" s="8">
        <v>627</v>
      </c>
      <c r="X57" s="8">
        <v>575</v>
      </c>
      <c r="Y57" s="8">
        <v>385</v>
      </c>
      <c r="Z57" s="8">
        <v>691</v>
      </c>
      <c r="AA57" s="8">
        <v>207</v>
      </c>
      <c r="AB57" s="8">
        <v>162</v>
      </c>
      <c r="AC57" s="8">
        <v>242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</row>
    <row r="58" spans="1:41">
      <c r="A58" s="7">
        <v>43052</v>
      </c>
      <c r="B58" s="8" t="s">
        <v>65</v>
      </c>
      <c r="C58" s="8">
        <v>2880</v>
      </c>
      <c r="D58" s="8">
        <v>3360</v>
      </c>
      <c r="E58" s="8">
        <v>3600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0</v>
      </c>
      <c r="N58" s="8">
        <v>0</v>
      </c>
      <c r="O58" s="8">
        <v>0</v>
      </c>
      <c r="P58" s="8">
        <v>0</v>
      </c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</row>
    <row r="59" spans="1:41">
      <c r="A59" s="7">
        <v>43052</v>
      </c>
      <c r="B59" s="8" t="s">
        <v>66</v>
      </c>
      <c r="C59" s="8">
        <v>0</v>
      </c>
      <c r="D59" s="8">
        <v>0</v>
      </c>
      <c r="E59" s="8">
        <v>1</v>
      </c>
      <c r="F59" s="8">
        <v>0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J59" s="8" t="e">
        <v>#N/A</v>
      </c>
      <c r="AK59" s="8" t="e">
        <v>#N/A</v>
      </c>
      <c r="AL59" s="8" t="e">
        <v>#N/A</v>
      </c>
      <c r="AM59" s="8" t="e">
        <v>#N/A</v>
      </c>
      <c r="AN59" s="8" t="e">
        <v>#N/A</v>
      </c>
      <c r="AO59" s="8" t="e">
        <v>#N/A</v>
      </c>
    </row>
    <row r="60" spans="1:41">
      <c r="A60" s="7">
        <v>43052</v>
      </c>
      <c r="B60" s="8" t="s">
        <v>64</v>
      </c>
      <c r="C60" s="8">
        <v>2828</v>
      </c>
      <c r="D60" s="8">
        <v>2525</v>
      </c>
      <c r="E60" s="8">
        <v>1160</v>
      </c>
      <c r="F60" s="8">
        <v>293</v>
      </c>
      <c r="G60" s="8">
        <v>317</v>
      </c>
      <c r="H60" s="8">
        <v>443</v>
      </c>
      <c r="I60" s="8">
        <v>150</v>
      </c>
      <c r="J60" s="8">
        <v>112</v>
      </c>
      <c r="K60" s="8">
        <v>191</v>
      </c>
      <c r="L60" s="8">
        <v>153</v>
      </c>
      <c r="M60" s="8">
        <v>70</v>
      </c>
      <c r="N60" s="8">
        <v>177</v>
      </c>
      <c r="O60" s="8">
        <v>209</v>
      </c>
      <c r="P60" s="8">
        <v>301</v>
      </c>
      <c r="Q60" s="8">
        <v>272</v>
      </c>
      <c r="R60" s="8">
        <v>297</v>
      </c>
      <c r="S60" s="8">
        <v>330</v>
      </c>
      <c r="T60" s="8">
        <v>614</v>
      </c>
      <c r="U60" s="8">
        <v>286</v>
      </c>
      <c r="V60" s="8">
        <v>456</v>
      </c>
      <c r="W60" s="8">
        <v>627</v>
      </c>
      <c r="X60" s="8">
        <v>575</v>
      </c>
      <c r="Y60" s="8">
        <v>385</v>
      </c>
      <c r="Z60" s="8">
        <v>691</v>
      </c>
      <c r="AA60" s="8">
        <v>207</v>
      </c>
      <c r="AB60" s="8">
        <v>162</v>
      </c>
      <c r="AC60" s="8">
        <v>242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</row>
    <row r="61" spans="1:41">
      <c r="A61" s="7">
        <v>43052</v>
      </c>
      <c r="B61" s="8" t="s">
        <v>65</v>
      </c>
      <c r="C61" s="8">
        <v>2880</v>
      </c>
      <c r="D61" s="8">
        <v>3360</v>
      </c>
      <c r="E61" s="8">
        <v>3600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</row>
    <row r="62" spans="1:41">
      <c r="A62" s="7">
        <v>43052</v>
      </c>
      <c r="B62" s="8" t="s">
        <v>66</v>
      </c>
      <c r="C62" s="8">
        <v>0</v>
      </c>
      <c r="D62" s="8">
        <v>0</v>
      </c>
      <c r="E62" s="8">
        <v>1</v>
      </c>
      <c r="F62" s="8">
        <v>0</v>
      </c>
      <c r="G62" s="8">
        <v>0</v>
      </c>
      <c r="H62" s="8">
        <v>0</v>
      </c>
      <c r="I62" s="8">
        <v>0</v>
      </c>
      <c r="J62" s="8">
        <v>80</v>
      </c>
      <c r="K62" s="8">
        <v>0</v>
      </c>
      <c r="L62" s="8">
        <v>0</v>
      </c>
      <c r="M62" s="8">
        <v>0</v>
      </c>
      <c r="N62" s="8">
        <v>0</v>
      </c>
      <c r="O62" s="8">
        <v>135</v>
      </c>
      <c r="P62" s="8">
        <v>180</v>
      </c>
      <c r="Q62" s="8">
        <v>180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J62" s="8" t="e">
        <v>#N/A</v>
      </c>
      <c r="AK62" s="8" t="e">
        <v>#N/A</v>
      </c>
      <c r="AL62" s="8" t="e">
        <v>#N/A</v>
      </c>
      <c r="AM62" s="8" t="e">
        <v>#N/A</v>
      </c>
      <c r="AN62" s="8" t="e">
        <v>#N/A</v>
      </c>
      <c r="AO62" s="8" t="e">
        <v>#N/A</v>
      </c>
    </row>
    <row r="63" spans="1:41">
      <c r="A63" s="7">
        <v>43059</v>
      </c>
      <c r="B63" s="8" t="s">
        <v>64</v>
      </c>
      <c r="C63" s="8">
        <v>3610</v>
      </c>
      <c r="D63" s="8">
        <v>3128</v>
      </c>
      <c r="E63" s="8">
        <v>2890</v>
      </c>
      <c r="F63" s="8">
        <v>273</v>
      </c>
      <c r="G63" s="8">
        <v>355</v>
      </c>
      <c r="H63" s="8">
        <v>300</v>
      </c>
      <c r="I63" s="8">
        <v>110</v>
      </c>
      <c r="J63" s="8">
        <v>157</v>
      </c>
      <c r="K63" s="8">
        <v>187</v>
      </c>
      <c r="L63" s="8">
        <v>151</v>
      </c>
      <c r="M63" s="8">
        <v>70</v>
      </c>
      <c r="N63" s="8">
        <v>96</v>
      </c>
      <c r="O63" s="8">
        <v>160</v>
      </c>
      <c r="P63" s="8">
        <v>245</v>
      </c>
      <c r="Q63" s="8">
        <v>216</v>
      </c>
      <c r="R63" s="8">
        <v>276</v>
      </c>
      <c r="S63" s="8">
        <v>295</v>
      </c>
      <c r="T63" s="8">
        <v>607</v>
      </c>
      <c r="U63" s="8">
        <v>285</v>
      </c>
      <c r="V63" s="8">
        <v>458</v>
      </c>
      <c r="W63" s="8">
        <v>633</v>
      </c>
      <c r="X63" s="8">
        <v>576</v>
      </c>
      <c r="Y63" s="8">
        <v>385</v>
      </c>
      <c r="Z63" s="8">
        <v>683</v>
      </c>
      <c r="AA63" s="8">
        <v>209</v>
      </c>
      <c r="AB63" s="8">
        <v>182</v>
      </c>
      <c r="AC63" s="8">
        <v>240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</row>
    <row r="64" spans="1:41">
      <c r="A64" s="7">
        <v>43059</v>
      </c>
      <c r="B64" s="8" t="s">
        <v>65</v>
      </c>
      <c r="C64" s="8">
        <v>3808</v>
      </c>
      <c r="D64" s="8">
        <v>4624</v>
      </c>
      <c r="E64" s="8">
        <v>5712</v>
      </c>
      <c r="F64" s="8">
        <v>0</v>
      </c>
      <c r="G64" s="8">
        <v>0</v>
      </c>
      <c r="H64" s="8">
        <v>0</v>
      </c>
      <c r="I64" s="8">
        <v>0</v>
      </c>
      <c r="J64" s="8">
        <v>80</v>
      </c>
      <c r="K64" s="8">
        <v>0</v>
      </c>
      <c r="L64" s="8">
        <v>0</v>
      </c>
      <c r="M64" s="8">
        <v>0</v>
      </c>
      <c r="N64" s="8">
        <v>0</v>
      </c>
      <c r="O64" s="8">
        <v>135</v>
      </c>
      <c r="P64" s="8">
        <v>180</v>
      </c>
      <c r="Q64" s="8">
        <v>180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</row>
    <row r="65" spans="1:41">
      <c r="A65" s="7">
        <v>43059</v>
      </c>
      <c r="B65" s="8" t="s">
        <v>66</v>
      </c>
      <c r="C65" s="8">
        <v>0</v>
      </c>
      <c r="D65" s="8">
        <v>0</v>
      </c>
      <c r="E65" s="8">
        <v>0</v>
      </c>
      <c r="F65" s="8">
        <v>102</v>
      </c>
      <c r="G65" s="8">
        <v>34</v>
      </c>
      <c r="H65" s="8">
        <v>306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J65" s="8" t="e">
        <v>#N/A</v>
      </c>
      <c r="AK65" s="8" t="e">
        <v>#N/A</v>
      </c>
      <c r="AL65" s="8" t="e">
        <v>#N/A</v>
      </c>
      <c r="AM65" s="8" t="e">
        <v>#N/A</v>
      </c>
      <c r="AN65" s="8" t="e">
        <v>#N/A</v>
      </c>
      <c r="AO65" s="8" t="e">
        <v>#N/A</v>
      </c>
    </row>
    <row r="66" spans="1:41">
      <c r="A66" s="7">
        <v>43066</v>
      </c>
      <c r="B66" s="8" t="s">
        <v>64</v>
      </c>
      <c r="C66" s="8">
        <v>3366</v>
      </c>
      <c r="D66" s="8">
        <v>2924</v>
      </c>
      <c r="E66" s="8">
        <v>1734</v>
      </c>
      <c r="F66" s="8">
        <v>214</v>
      </c>
      <c r="G66" s="8">
        <v>294</v>
      </c>
      <c r="H66" s="8">
        <v>312</v>
      </c>
      <c r="I66" s="8">
        <v>72</v>
      </c>
      <c r="J66" s="8">
        <v>230</v>
      </c>
      <c r="K66" s="8">
        <v>115</v>
      </c>
      <c r="L66" s="8">
        <v>151</v>
      </c>
      <c r="M66" s="8">
        <v>70</v>
      </c>
      <c r="N66" s="8">
        <v>176</v>
      </c>
      <c r="O66" s="8">
        <v>151</v>
      </c>
      <c r="P66" s="8">
        <v>226</v>
      </c>
      <c r="Q66" s="8">
        <v>198</v>
      </c>
      <c r="R66" s="8">
        <v>269</v>
      </c>
      <c r="S66" s="8">
        <v>271</v>
      </c>
      <c r="T66" s="8">
        <v>540</v>
      </c>
      <c r="U66" s="8">
        <v>280</v>
      </c>
      <c r="V66" s="8">
        <v>355</v>
      </c>
      <c r="W66" s="8">
        <v>624</v>
      </c>
      <c r="X66" s="8">
        <v>575</v>
      </c>
      <c r="Y66" s="8">
        <v>383</v>
      </c>
      <c r="Z66" s="8">
        <v>681</v>
      </c>
      <c r="AA66" s="8">
        <v>205</v>
      </c>
      <c r="AB66" s="8">
        <v>152</v>
      </c>
      <c r="AC66" s="8">
        <v>231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</row>
    <row r="67" spans="1:41">
      <c r="A67" s="7">
        <v>43066</v>
      </c>
      <c r="B67" s="8" t="s">
        <v>65</v>
      </c>
      <c r="C67" s="8">
        <v>2856</v>
      </c>
      <c r="D67" s="8">
        <v>3468</v>
      </c>
      <c r="E67" s="8">
        <v>4998</v>
      </c>
      <c r="F67" s="8">
        <v>102</v>
      </c>
      <c r="G67" s="8">
        <v>40</v>
      </c>
      <c r="H67" s="8">
        <v>306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</row>
    <row r="68" spans="1:41">
      <c r="A68" s="7">
        <v>43066</v>
      </c>
      <c r="B68" s="8" t="s">
        <v>66</v>
      </c>
      <c r="C68" s="8">
        <v>2</v>
      </c>
      <c r="D68" s="8">
        <v>2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180</v>
      </c>
      <c r="P68" s="8">
        <v>180</v>
      </c>
      <c r="Q68" s="8">
        <v>225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J68" s="8" t="e">
        <v>#N/A</v>
      </c>
      <c r="AK68" s="8" t="e">
        <v>#N/A</v>
      </c>
      <c r="AL68" s="8" t="e">
        <v>#N/A</v>
      </c>
      <c r="AM68" s="8" t="e">
        <v>#N/A</v>
      </c>
      <c r="AN68" s="8" t="e">
        <v>#N/A</v>
      </c>
      <c r="AO68" s="8" t="e">
        <v>#N/A</v>
      </c>
    </row>
    <row r="69" spans="1:41">
      <c r="A69" s="7">
        <v>43066</v>
      </c>
      <c r="B69" s="8" t="s">
        <v>64</v>
      </c>
      <c r="C69" s="8">
        <v>3366</v>
      </c>
      <c r="D69" s="8">
        <v>2924</v>
      </c>
      <c r="E69" s="8">
        <v>1734</v>
      </c>
      <c r="F69" s="8">
        <v>214</v>
      </c>
      <c r="G69" s="8">
        <v>294</v>
      </c>
      <c r="H69" s="8">
        <v>312</v>
      </c>
      <c r="I69" s="8">
        <v>72</v>
      </c>
      <c r="J69" s="8">
        <v>230</v>
      </c>
      <c r="K69" s="8">
        <v>115</v>
      </c>
      <c r="L69" s="8">
        <v>151</v>
      </c>
      <c r="M69" s="8">
        <v>70</v>
      </c>
      <c r="N69" s="8">
        <v>176</v>
      </c>
      <c r="O69" s="8">
        <v>151</v>
      </c>
      <c r="P69" s="8">
        <v>226</v>
      </c>
      <c r="Q69" s="8">
        <v>198</v>
      </c>
      <c r="R69" s="8">
        <v>269</v>
      </c>
      <c r="S69" s="8">
        <v>271</v>
      </c>
      <c r="T69" s="8">
        <v>540</v>
      </c>
      <c r="U69" s="8">
        <v>280</v>
      </c>
      <c r="V69" s="8">
        <v>355</v>
      </c>
      <c r="W69" s="8">
        <v>624</v>
      </c>
      <c r="X69" s="8">
        <v>575</v>
      </c>
      <c r="Y69" s="8">
        <v>383</v>
      </c>
      <c r="Z69" s="8">
        <v>681</v>
      </c>
      <c r="AA69" s="8">
        <v>205</v>
      </c>
      <c r="AB69" s="8">
        <v>152</v>
      </c>
      <c r="AC69" s="8">
        <v>231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</row>
    <row r="70" spans="1:41">
      <c r="A70" s="7">
        <v>43066</v>
      </c>
      <c r="B70" s="8" t="s">
        <v>65</v>
      </c>
      <c r="C70" s="8">
        <v>2856</v>
      </c>
      <c r="D70" s="8">
        <v>3468</v>
      </c>
      <c r="E70" s="8">
        <v>4998</v>
      </c>
      <c r="F70" s="8">
        <v>102</v>
      </c>
      <c r="G70" s="8">
        <v>40</v>
      </c>
      <c r="H70" s="8">
        <v>306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8">
        <v>0</v>
      </c>
      <c r="AC70" s="8">
        <v>0</v>
      </c>
    </row>
    <row r="71" spans="1:41">
      <c r="A71" s="7">
        <v>43066</v>
      </c>
      <c r="B71" s="8" t="s">
        <v>66</v>
      </c>
      <c r="C71" s="8">
        <v>2</v>
      </c>
      <c r="D71" s="8">
        <v>2</v>
      </c>
      <c r="E71" s="8">
        <v>0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>
        <v>180</v>
      </c>
      <c r="P71" s="8">
        <v>180</v>
      </c>
      <c r="Q71" s="8">
        <v>225</v>
      </c>
      <c r="R71" s="8">
        <v>0</v>
      </c>
      <c r="S71" s="8">
        <v>0</v>
      </c>
      <c r="T71" s="8">
        <v>0</v>
      </c>
      <c r="U71" s="8">
        <v>0</v>
      </c>
      <c r="V71" s="8">
        <v>0</v>
      </c>
      <c r="W71" s="8">
        <v>0</v>
      </c>
      <c r="X71" s="8">
        <v>0</v>
      </c>
      <c r="Y71" s="8">
        <v>0</v>
      </c>
      <c r="Z71" s="8">
        <v>0</v>
      </c>
      <c r="AA71" s="8">
        <v>0</v>
      </c>
      <c r="AB71" s="8">
        <v>0</v>
      </c>
      <c r="AC71" s="8">
        <v>0</v>
      </c>
      <c r="AJ71" s="8" t="e">
        <v>#N/A</v>
      </c>
      <c r="AK71" s="8" t="e">
        <v>#N/A</v>
      </c>
      <c r="AL71" s="8" t="e">
        <v>#N/A</v>
      </c>
      <c r="AM71" s="8" t="e">
        <v>#N/A</v>
      </c>
      <c r="AN71" s="8" t="e">
        <v>#N/A</v>
      </c>
      <c r="AO71" s="8" t="e">
        <v>#N/A</v>
      </c>
    </row>
    <row r="72" spans="1:41">
      <c r="A72" s="7">
        <v>43073</v>
      </c>
      <c r="B72" s="8" t="s">
        <v>64</v>
      </c>
      <c r="C72" s="8">
        <v>2788</v>
      </c>
      <c r="D72" s="8">
        <v>2448</v>
      </c>
      <c r="E72" s="8">
        <v>2346</v>
      </c>
      <c r="F72" s="8">
        <v>283</v>
      </c>
      <c r="G72" s="8">
        <v>306</v>
      </c>
      <c r="H72" s="8">
        <v>302</v>
      </c>
      <c r="I72" s="8">
        <v>32</v>
      </c>
      <c r="J72" s="8">
        <v>162</v>
      </c>
      <c r="K72" s="8">
        <v>83</v>
      </c>
      <c r="L72" s="8">
        <v>150</v>
      </c>
      <c r="M72" s="8">
        <v>70</v>
      </c>
      <c r="N72" s="8">
        <v>216</v>
      </c>
      <c r="O72" s="8">
        <v>195</v>
      </c>
      <c r="P72" s="8">
        <v>295</v>
      </c>
      <c r="Q72" s="8">
        <v>238</v>
      </c>
      <c r="R72" s="8">
        <v>255</v>
      </c>
      <c r="S72" s="8">
        <v>270</v>
      </c>
      <c r="T72" s="8">
        <v>549</v>
      </c>
      <c r="U72" s="8">
        <v>270</v>
      </c>
      <c r="V72" s="8">
        <v>452</v>
      </c>
      <c r="W72" s="8">
        <v>587</v>
      </c>
      <c r="X72" s="8">
        <v>568</v>
      </c>
      <c r="Y72" s="8">
        <v>377</v>
      </c>
      <c r="Z72" s="8">
        <v>680</v>
      </c>
      <c r="AA72" s="8">
        <v>204</v>
      </c>
      <c r="AB72" s="8">
        <v>151</v>
      </c>
      <c r="AC72" s="8">
        <v>231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</row>
    <row r="73" spans="1:41">
      <c r="A73" s="7">
        <v>43073</v>
      </c>
      <c r="B73" s="8" t="s">
        <v>65</v>
      </c>
      <c r="C73" s="8">
        <v>2380</v>
      </c>
      <c r="D73" s="8">
        <v>2890</v>
      </c>
      <c r="E73" s="8">
        <v>2142</v>
      </c>
      <c r="F73" s="8">
        <v>102</v>
      </c>
      <c r="G73" s="8">
        <v>34</v>
      </c>
      <c r="H73" s="8">
        <v>306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180</v>
      </c>
      <c r="P73" s="8">
        <v>180</v>
      </c>
      <c r="Q73" s="8">
        <v>225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41">
      <c r="A74" s="7">
        <v>43073</v>
      </c>
      <c r="B74" s="8" t="s">
        <v>66</v>
      </c>
      <c r="C74" s="8">
        <v>3</v>
      </c>
      <c r="D74" s="8">
        <v>3</v>
      </c>
      <c r="E74" s="8">
        <v>3</v>
      </c>
      <c r="F74" s="8">
        <v>0</v>
      </c>
      <c r="G74" s="8">
        <v>0</v>
      </c>
      <c r="H74" s="8">
        <v>0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  <c r="P74" s="8">
        <v>0</v>
      </c>
      <c r="Q74" s="8">
        <v>0</v>
      </c>
      <c r="R74" s="8">
        <v>0</v>
      </c>
      <c r="S74" s="8">
        <v>0</v>
      </c>
      <c r="T74" s="8">
        <v>0</v>
      </c>
      <c r="U74" s="8">
        <v>0</v>
      </c>
      <c r="V74" s="8">
        <v>0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  <c r="AJ74" s="8" t="e">
        <v>#N/A</v>
      </c>
      <c r="AK74" s="8" t="e">
        <v>#N/A</v>
      </c>
      <c r="AL74" s="8" t="e">
        <v>#N/A</v>
      </c>
      <c r="AM74" s="8" t="e">
        <v>#N/A</v>
      </c>
      <c r="AN74" s="8" t="e">
        <v>#N/A</v>
      </c>
      <c r="AO74" s="8" t="e">
        <v>#N/A</v>
      </c>
    </row>
    <row r="75" spans="1:41">
      <c r="A75" s="7">
        <v>43073</v>
      </c>
      <c r="B75" s="8" t="s">
        <v>64</v>
      </c>
      <c r="C75" s="8">
        <v>2788</v>
      </c>
      <c r="D75" s="8">
        <v>2448</v>
      </c>
      <c r="E75" s="8">
        <v>2346</v>
      </c>
      <c r="F75" s="8">
        <v>283</v>
      </c>
      <c r="G75" s="8">
        <v>306</v>
      </c>
      <c r="H75" s="8">
        <v>302</v>
      </c>
      <c r="I75" s="8">
        <v>32</v>
      </c>
      <c r="J75" s="8">
        <v>162</v>
      </c>
      <c r="K75" s="8">
        <v>83</v>
      </c>
      <c r="L75" s="8">
        <v>150</v>
      </c>
      <c r="M75" s="8">
        <v>70</v>
      </c>
      <c r="N75" s="8">
        <v>216</v>
      </c>
      <c r="O75" s="8">
        <v>195</v>
      </c>
      <c r="P75" s="8">
        <v>295</v>
      </c>
      <c r="Q75" s="8">
        <v>238</v>
      </c>
      <c r="R75" s="8">
        <v>255</v>
      </c>
      <c r="S75" s="8">
        <v>270</v>
      </c>
      <c r="T75" s="8">
        <v>549</v>
      </c>
      <c r="U75" s="8">
        <v>270</v>
      </c>
      <c r="V75" s="8">
        <v>452</v>
      </c>
      <c r="W75" s="8">
        <v>587</v>
      </c>
      <c r="X75" s="8">
        <v>568</v>
      </c>
      <c r="Y75" s="8">
        <v>377</v>
      </c>
      <c r="Z75" s="8">
        <v>680</v>
      </c>
      <c r="AA75" s="8">
        <v>204</v>
      </c>
      <c r="AB75" s="8">
        <v>151</v>
      </c>
      <c r="AC75" s="8">
        <v>231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</row>
    <row r="76" spans="1:41">
      <c r="A76" s="7">
        <v>43073</v>
      </c>
      <c r="B76" s="8" t="s">
        <v>65</v>
      </c>
      <c r="C76" s="8">
        <v>2380</v>
      </c>
      <c r="D76" s="8">
        <v>2890</v>
      </c>
      <c r="E76" s="8">
        <v>2142</v>
      </c>
      <c r="F76" s="8">
        <v>102</v>
      </c>
      <c r="G76" s="8">
        <v>34</v>
      </c>
      <c r="H76" s="8">
        <v>306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180</v>
      </c>
      <c r="P76" s="8">
        <v>180</v>
      </c>
      <c r="Q76" s="8">
        <v>225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41">
      <c r="A77" s="7">
        <v>43073</v>
      </c>
      <c r="B77" s="8" t="s">
        <v>66</v>
      </c>
      <c r="C77" s="8">
        <v>4</v>
      </c>
      <c r="D77" s="8">
        <v>4</v>
      </c>
      <c r="E77" s="8">
        <v>2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J77" s="8" t="e">
        <v>#N/A</v>
      </c>
      <c r="AK77" s="8" t="e">
        <v>#N/A</v>
      </c>
      <c r="AL77" s="8" t="e">
        <v>#N/A</v>
      </c>
      <c r="AM77" s="8" t="e">
        <v>#N/A</v>
      </c>
      <c r="AN77" s="8" t="e">
        <v>#N/A</v>
      </c>
      <c r="AO77" s="8" t="e">
        <v>#N/A</v>
      </c>
    </row>
    <row r="78" spans="1:41">
      <c r="A78" s="7">
        <v>43080</v>
      </c>
      <c r="B78" s="8" t="s">
        <v>64</v>
      </c>
      <c r="C78" s="8">
        <v>2482</v>
      </c>
      <c r="D78" s="8">
        <v>2006</v>
      </c>
      <c r="E78" s="8">
        <v>1836</v>
      </c>
      <c r="F78" s="8">
        <v>293</v>
      </c>
      <c r="G78" s="8">
        <v>288</v>
      </c>
      <c r="H78" s="8">
        <v>435</v>
      </c>
      <c r="I78" s="8">
        <v>13</v>
      </c>
      <c r="J78" s="8">
        <v>162</v>
      </c>
      <c r="K78" s="8">
        <v>41</v>
      </c>
      <c r="L78" s="8">
        <v>149</v>
      </c>
      <c r="M78" s="8">
        <v>70</v>
      </c>
      <c r="N78" s="8">
        <v>137</v>
      </c>
      <c r="O78" s="8">
        <v>310</v>
      </c>
      <c r="P78" s="8">
        <v>385</v>
      </c>
      <c r="Q78" s="8">
        <v>412</v>
      </c>
      <c r="R78" s="8">
        <v>236</v>
      </c>
      <c r="S78" s="8">
        <v>248</v>
      </c>
      <c r="T78" s="8">
        <v>465</v>
      </c>
      <c r="U78" s="8">
        <v>269</v>
      </c>
      <c r="V78" s="8">
        <v>451</v>
      </c>
      <c r="W78" s="8">
        <v>614</v>
      </c>
      <c r="X78" s="8">
        <v>563</v>
      </c>
      <c r="Y78" s="8">
        <v>375</v>
      </c>
      <c r="Z78" s="8">
        <v>680</v>
      </c>
      <c r="AA78" s="8">
        <v>202</v>
      </c>
      <c r="AB78" s="8">
        <v>150</v>
      </c>
      <c r="AC78" s="8">
        <v>229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</row>
    <row r="79" spans="1:41">
      <c r="A79" s="7">
        <v>43080</v>
      </c>
      <c r="B79" s="8" t="s">
        <v>65</v>
      </c>
      <c r="C79" s="8">
        <v>2856</v>
      </c>
      <c r="D79" s="8">
        <v>2890</v>
      </c>
      <c r="E79" s="8">
        <v>1428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41">
      <c r="A80" s="7">
        <v>43080</v>
      </c>
      <c r="B80" s="8" t="s">
        <v>66</v>
      </c>
      <c r="C80" s="8">
        <v>4</v>
      </c>
      <c r="D80" s="8">
        <v>4</v>
      </c>
      <c r="E80" s="8">
        <v>4</v>
      </c>
      <c r="F80" s="8">
        <v>102</v>
      </c>
      <c r="G80" s="8">
        <v>102</v>
      </c>
      <c r="H80" s="8">
        <v>170</v>
      </c>
      <c r="I80" s="8">
        <v>160</v>
      </c>
      <c r="J80" s="8">
        <v>0</v>
      </c>
      <c r="K80" s="8">
        <v>120</v>
      </c>
      <c r="L80" s="8">
        <v>0</v>
      </c>
      <c r="M80" s="8">
        <v>40</v>
      </c>
      <c r="N80" s="8">
        <v>40</v>
      </c>
      <c r="O80" s="8">
        <v>45</v>
      </c>
      <c r="P80" s="8">
        <v>90</v>
      </c>
      <c r="Q80" s="8">
        <v>45</v>
      </c>
      <c r="R80" s="8">
        <v>0</v>
      </c>
      <c r="S80" s="8">
        <v>0</v>
      </c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  <c r="AJ80" s="8" t="e">
        <v>#N/A</v>
      </c>
      <c r="AK80" s="8" t="e">
        <v>#N/A</v>
      </c>
      <c r="AL80" s="8" t="e">
        <v>#N/A</v>
      </c>
      <c r="AM80" s="8" t="e">
        <v>#N/A</v>
      </c>
      <c r="AN80" s="8" t="e">
        <v>#N/A</v>
      </c>
      <c r="AO80" s="8" t="e">
        <v>#N/A</v>
      </c>
    </row>
    <row r="81" spans="1:41">
      <c r="A81" s="7">
        <v>43087</v>
      </c>
      <c r="B81" s="8" t="s">
        <v>64</v>
      </c>
      <c r="C81" s="8">
        <v>2686</v>
      </c>
      <c r="D81" s="8">
        <v>2244</v>
      </c>
      <c r="E81" s="8">
        <v>1020</v>
      </c>
      <c r="F81" s="8">
        <v>254</v>
      </c>
      <c r="G81" s="8">
        <v>234</v>
      </c>
      <c r="H81" s="8">
        <v>358</v>
      </c>
      <c r="I81" s="8">
        <v>0</v>
      </c>
      <c r="J81" s="8">
        <v>145</v>
      </c>
      <c r="K81" s="8">
        <v>22</v>
      </c>
      <c r="L81" s="8">
        <v>142</v>
      </c>
      <c r="M81" s="8">
        <v>70</v>
      </c>
      <c r="N81" s="8">
        <v>136</v>
      </c>
      <c r="O81" s="8">
        <v>246</v>
      </c>
      <c r="P81" s="8">
        <v>307</v>
      </c>
      <c r="Q81" s="8">
        <v>336</v>
      </c>
      <c r="R81" s="8">
        <v>220</v>
      </c>
      <c r="S81" s="8">
        <v>224</v>
      </c>
      <c r="T81" s="8">
        <v>508</v>
      </c>
      <c r="U81" s="8">
        <v>268</v>
      </c>
      <c r="V81" s="8">
        <v>457</v>
      </c>
      <c r="W81" s="8">
        <v>571</v>
      </c>
      <c r="X81" s="8">
        <v>561</v>
      </c>
      <c r="Y81" s="8">
        <v>372</v>
      </c>
      <c r="Z81" s="8">
        <v>680</v>
      </c>
      <c r="AA81" s="8">
        <v>500</v>
      </c>
      <c r="AB81" s="8">
        <v>147</v>
      </c>
      <c r="AC81" s="8">
        <v>227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</row>
    <row r="82" spans="1:41">
      <c r="A82" s="7">
        <v>43087</v>
      </c>
      <c r="B82" s="8" t="s">
        <v>65</v>
      </c>
      <c r="C82" s="8">
        <v>2380</v>
      </c>
      <c r="D82" s="8">
        <v>2890</v>
      </c>
      <c r="E82" s="8">
        <v>2856</v>
      </c>
      <c r="F82" s="8">
        <v>120</v>
      </c>
      <c r="G82" s="8">
        <v>120</v>
      </c>
      <c r="H82" s="8">
        <v>200</v>
      </c>
      <c r="I82" s="8">
        <v>160</v>
      </c>
      <c r="J82" s="8">
        <v>0</v>
      </c>
      <c r="K82" s="8">
        <v>120</v>
      </c>
      <c r="L82" s="8">
        <v>0</v>
      </c>
      <c r="M82" s="8">
        <v>40</v>
      </c>
      <c r="N82" s="8">
        <v>0</v>
      </c>
      <c r="O82" s="8">
        <v>45</v>
      </c>
      <c r="P82" s="8">
        <v>90</v>
      </c>
      <c r="Q82" s="8">
        <v>45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8">
        <v>0</v>
      </c>
      <c r="AC82" s="8">
        <v>0</v>
      </c>
    </row>
    <row r="83" spans="1:41">
      <c r="A83" s="7">
        <v>43087</v>
      </c>
      <c r="B83" s="8" t="s">
        <v>66</v>
      </c>
      <c r="C83" s="8">
        <v>4</v>
      </c>
      <c r="D83" s="8">
        <v>4</v>
      </c>
      <c r="E83" s="8">
        <v>3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8">
        <v>0</v>
      </c>
      <c r="AA83" s="8">
        <v>0</v>
      </c>
      <c r="AB83" s="8">
        <v>0</v>
      </c>
      <c r="AC83" s="8">
        <v>0</v>
      </c>
      <c r="AJ83" s="8" t="e">
        <v>#N/A</v>
      </c>
      <c r="AK83" s="8" t="e">
        <v>#N/A</v>
      </c>
      <c r="AL83" s="8" t="e">
        <v>#N/A</v>
      </c>
      <c r="AM83" s="8" t="e">
        <v>#N/A</v>
      </c>
      <c r="AN83" s="8" t="e">
        <v>#N/A</v>
      </c>
      <c r="AO83" s="8" t="e">
        <v>#N/A</v>
      </c>
    </row>
    <row r="84" spans="1:41">
      <c r="A84" s="7">
        <v>43095</v>
      </c>
      <c r="B84" s="8" t="s">
        <v>64</v>
      </c>
      <c r="C84" s="8">
        <v>3060</v>
      </c>
      <c r="D84" s="8">
        <v>2312</v>
      </c>
      <c r="E84" s="8">
        <v>1632</v>
      </c>
      <c r="F84" s="8">
        <v>350</v>
      </c>
      <c r="G84" s="8">
        <v>343</v>
      </c>
      <c r="H84" s="8">
        <v>482</v>
      </c>
      <c r="I84" s="8">
        <v>0</v>
      </c>
      <c r="J84" s="8">
        <v>117</v>
      </c>
      <c r="K84" s="8">
        <v>9</v>
      </c>
      <c r="L84" s="8">
        <v>124</v>
      </c>
      <c r="M84" s="8">
        <v>70</v>
      </c>
      <c r="N84" s="8">
        <v>136</v>
      </c>
      <c r="O84" s="8">
        <v>202</v>
      </c>
      <c r="P84" s="8">
        <v>239</v>
      </c>
      <c r="Q84" s="8">
        <v>271</v>
      </c>
      <c r="R84" s="8">
        <v>209</v>
      </c>
      <c r="S84" s="8">
        <v>214</v>
      </c>
      <c r="T84" s="8">
        <v>484</v>
      </c>
      <c r="U84" s="8">
        <v>268</v>
      </c>
      <c r="V84" s="8">
        <v>448</v>
      </c>
      <c r="W84" s="8">
        <v>559</v>
      </c>
      <c r="X84" s="8">
        <v>518</v>
      </c>
      <c r="Y84" s="8">
        <v>364</v>
      </c>
      <c r="Z84" s="8">
        <v>664</v>
      </c>
      <c r="AA84" s="8">
        <v>197</v>
      </c>
      <c r="AB84" s="8">
        <v>143</v>
      </c>
      <c r="AC84" s="8">
        <v>226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</row>
    <row r="85" spans="1:41">
      <c r="A85" s="7">
        <v>43095</v>
      </c>
      <c r="B85" s="8" t="s">
        <v>65</v>
      </c>
      <c r="C85" s="8">
        <v>2856</v>
      </c>
      <c r="D85" s="8">
        <v>2880</v>
      </c>
      <c r="E85" s="8">
        <v>3570</v>
      </c>
      <c r="F85" s="8">
        <v>0</v>
      </c>
      <c r="G85" s="8">
        <v>0</v>
      </c>
      <c r="H85" s="8">
        <v>0</v>
      </c>
      <c r="I85" s="8">
        <v>80</v>
      </c>
      <c r="J85" s="8">
        <v>80</v>
      </c>
      <c r="K85" s="8">
        <v>200</v>
      </c>
      <c r="L85" s="8">
        <v>80</v>
      </c>
      <c r="M85" s="8">
        <v>80</v>
      </c>
      <c r="N85" s="8">
        <v>80</v>
      </c>
      <c r="O85" s="8">
        <v>180</v>
      </c>
      <c r="P85" s="8">
        <v>135</v>
      </c>
      <c r="Q85" s="8">
        <v>135</v>
      </c>
      <c r="R85" s="8">
        <v>0</v>
      </c>
      <c r="S85" s="8">
        <v>0</v>
      </c>
      <c r="T85" s="8"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8">
        <v>0</v>
      </c>
      <c r="AC85" s="8">
        <v>0</v>
      </c>
    </row>
    <row r="86" spans="1:41">
      <c r="A86" s="7">
        <v>43095</v>
      </c>
      <c r="B86" s="8" t="s">
        <v>66</v>
      </c>
      <c r="C86" s="8">
        <v>0</v>
      </c>
      <c r="D86" s="8">
        <v>0</v>
      </c>
      <c r="E86" s="8">
        <v>0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J86" s="8" t="e">
        <v>#N/A</v>
      </c>
      <c r="AK86" s="8" t="e">
        <v>#N/A</v>
      </c>
      <c r="AL86" s="8" t="e">
        <v>#N/A</v>
      </c>
      <c r="AM86" s="8" t="e">
        <v>#N/A</v>
      </c>
      <c r="AN86" s="8" t="e">
        <v>#N/A</v>
      </c>
      <c r="AO86" s="8" t="e">
        <v>#N/A</v>
      </c>
    </row>
    <row r="87" spans="1:41">
      <c r="A87" s="7">
        <v>43102</v>
      </c>
      <c r="B87" s="8" t="s">
        <v>64</v>
      </c>
      <c r="C87" s="8">
        <v>2142</v>
      </c>
      <c r="D87" s="8">
        <v>1020</v>
      </c>
      <c r="E87" s="8">
        <v>476</v>
      </c>
      <c r="F87" s="8">
        <v>346</v>
      </c>
      <c r="G87" s="8">
        <v>339</v>
      </c>
      <c r="H87" s="8">
        <v>481</v>
      </c>
      <c r="I87" s="8">
        <v>34</v>
      </c>
      <c r="J87" s="8">
        <v>101</v>
      </c>
      <c r="K87" s="8">
        <v>130</v>
      </c>
      <c r="L87" s="8">
        <v>120</v>
      </c>
      <c r="M87" s="8">
        <v>70</v>
      </c>
      <c r="N87" s="8">
        <v>137</v>
      </c>
      <c r="O87" s="8">
        <v>351</v>
      </c>
      <c r="P87" s="8">
        <v>332</v>
      </c>
      <c r="Q87" s="8">
        <v>376</v>
      </c>
      <c r="R87" s="8">
        <v>207</v>
      </c>
      <c r="S87" s="8">
        <v>260</v>
      </c>
      <c r="T87" s="8">
        <v>492</v>
      </c>
      <c r="U87" s="8">
        <v>268</v>
      </c>
      <c r="V87" s="8">
        <v>447</v>
      </c>
      <c r="W87" s="8">
        <v>558</v>
      </c>
      <c r="X87" s="8">
        <v>521</v>
      </c>
      <c r="Y87" s="8">
        <v>367</v>
      </c>
      <c r="Z87" s="8">
        <v>666</v>
      </c>
      <c r="AA87" s="8">
        <v>202</v>
      </c>
      <c r="AB87" s="8">
        <v>144</v>
      </c>
      <c r="AC87" s="8">
        <v>227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</row>
    <row r="88" spans="1:41">
      <c r="A88" s="7">
        <v>43102</v>
      </c>
      <c r="B88" s="8" t="s">
        <v>65</v>
      </c>
      <c r="C88" s="8">
        <v>2856</v>
      </c>
      <c r="D88" s="8">
        <v>2880</v>
      </c>
      <c r="E88" s="8">
        <v>3570</v>
      </c>
      <c r="F88" s="8">
        <v>0</v>
      </c>
      <c r="G88" s="8">
        <v>0</v>
      </c>
      <c r="H88" s="8">
        <v>0</v>
      </c>
      <c r="I88" s="8">
        <v>80</v>
      </c>
      <c r="J88" s="8">
        <v>80</v>
      </c>
      <c r="K88" s="8">
        <v>80</v>
      </c>
      <c r="L88" s="8">
        <v>80</v>
      </c>
      <c r="M88" s="8">
        <v>80</v>
      </c>
      <c r="N88" s="8">
        <v>80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</row>
    <row r="89" spans="1:41">
      <c r="A89" s="7">
        <v>43102</v>
      </c>
      <c r="B89" s="8" t="s">
        <v>66</v>
      </c>
      <c r="C89" s="8">
        <v>1</v>
      </c>
      <c r="D89" s="8">
        <v>2</v>
      </c>
      <c r="E89" s="8">
        <v>2</v>
      </c>
      <c r="F89" s="8">
        <v>34</v>
      </c>
      <c r="G89" s="8">
        <v>34</v>
      </c>
      <c r="H89" s="8">
        <v>136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200</v>
      </c>
      <c r="Y89" s="8">
        <v>40</v>
      </c>
      <c r="Z89" s="8">
        <v>200</v>
      </c>
      <c r="AA89" s="8">
        <v>40</v>
      </c>
      <c r="AB89" s="8">
        <v>80</v>
      </c>
      <c r="AC89" s="8">
        <v>40</v>
      </c>
      <c r="AJ89" s="8" t="e">
        <v>#N/A</v>
      </c>
      <c r="AK89" s="8" t="e">
        <v>#N/A</v>
      </c>
      <c r="AL89" s="8" t="e">
        <v>#N/A</v>
      </c>
      <c r="AM89" s="8" t="e">
        <v>#N/A</v>
      </c>
      <c r="AN89" s="8" t="e">
        <v>#N/A</v>
      </c>
      <c r="AO89" s="8" t="e">
        <v>#N/A</v>
      </c>
    </row>
    <row r="90" spans="1:41">
      <c r="A90" s="7">
        <v>43109</v>
      </c>
      <c r="B90" s="8" t="s">
        <v>64</v>
      </c>
      <c r="C90" s="8">
        <v>2210</v>
      </c>
      <c r="D90" s="8">
        <v>1496</v>
      </c>
      <c r="E90" s="8">
        <v>1496</v>
      </c>
      <c r="F90" s="8">
        <v>310</v>
      </c>
      <c r="G90" s="8">
        <v>322</v>
      </c>
      <c r="H90" s="8">
        <v>446</v>
      </c>
      <c r="I90" s="8">
        <v>0</v>
      </c>
      <c r="J90" s="8">
        <v>86</v>
      </c>
      <c r="K90" s="8">
        <v>117</v>
      </c>
      <c r="L90" s="8">
        <v>113</v>
      </c>
      <c r="M90" s="8">
        <v>70</v>
      </c>
      <c r="N90" s="8">
        <v>134</v>
      </c>
      <c r="O90" s="8">
        <v>284</v>
      </c>
      <c r="P90" s="8">
        <v>133</v>
      </c>
      <c r="Q90" s="8">
        <v>283</v>
      </c>
      <c r="R90" s="8">
        <v>192</v>
      </c>
      <c r="S90" s="8">
        <v>199</v>
      </c>
      <c r="T90" s="8">
        <v>457</v>
      </c>
      <c r="U90" s="8">
        <v>267</v>
      </c>
      <c r="V90" s="8">
        <v>446</v>
      </c>
      <c r="W90" s="8">
        <v>538</v>
      </c>
      <c r="X90" s="8">
        <v>506</v>
      </c>
      <c r="Y90" s="8">
        <v>366</v>
      </c>
      <c r="Z90" s="8">
        <v>661</v>
      </c>
      <c r="AA90" s="8">
        <v>197</v>
      </c>
      <c r="AB90" s="8">
        <v>143</v>
      </c>
      <c r="AC90" s="8">
        <v>226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</row>
    <row r="91" spans="1:41">
      <c r="A91" s="7">
        <v>43109</v>
      </c>
      <c r="B91" s="8" t="s">
        <v>65</v>
      </c>
      <c r="C91" s="8">
        <v>1428</v>
      </c>
      <c r="D91" s="8">
        <v>1152</v>
      </c>
      <c r="E91" s="8">
        <v>1428</v>
      </c>
      <c r="F91" s="8">
        <v>0</v>
      </c>
      <c r="G91" s="8">
        <v>0</v>
      </c>
      <c r="H91" s="8">
        <v>0</v>
      </c>
      <c r="I91" s="8">
        <v>80</v>
      </c>
      <c r="J91" s="8">
        <v>80</v>
      </c>
      <c r="K91" s="8">
        <v>120</v>
      </c>
      <c r="L91" s="8">
        <v>40</v>
      </c>
      <c r="M91" s="8">
        <v>80</v>
      </c>
      <c r="N91" s="8">
        <v>40</v>
      </c>
      <c r="O91" s="8">
        <v>0</v>
      </c>
      <c r="P91" s="8">
        <v>0</v>
      </c>
      <c r="Q91" s="8">
        <v>0</v>
      </c>
      <c r="R91" s="8">
        <v>0</v>
      </c>
      <c r="S91" s="8">
        <v>0</v>
      </c>
      <c r="T91" s="8">
        <v>0</v>
      </c>
      <c r="U91" s="8">
        <v>0</v>
      </c>
      <c r="V91" s="8">
        <v>0</v>
      </c>
      <c r="W91" s="8">
        <v>0</v>
      </c>
      <c r="X91" s="8">
        <v>200</v>
      </c>
      <c r="Y91" s="8">
        <v>40</v>
      </c>
      <c r="Z91" s="8">
        <v>200</v>
      </c>
      <c r="AA91" s="8">
        <v>40</v>
      </c>
      <c r="AB91" s="8">
        <v>80</v>
      </c>
      <c r="AC91" s="8">
        <v>40</v>
      </c>
    </row>
    <row r="92" spans="1:41">
      <c r="A92" s="7">
        <v>43109</v>
      </c>
      <c r="B92" s="8" t="s">
        <v>66</v>
      </c>
      <c r="C92" s="8">
        <v>3</v>
      </c>
      <c r="D92" s="8">
        <v>4</v>
      </c>
      <c r="E92" s="8">
        <v>4</v>
      </c>
      <c r="F92" s="8">
        <v>102</v>
      </c>
      <c r="G92" s="8">
        <v>102</v>
      </c>
      <c r="H92" s="8">
        <v>170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0</v>
      </c>
      <c r="O92" s="8">
        <v>90</v>
      </c>
      <c r="P92" s="8">
        <v>315</v>
      </c>
      <c r="Q92" s="8">
        <v>180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J92" s="8" t="e">
        <v>#N/A</v>
      </c>
      <c r="AK92" s="8" t="e">
        <v>#N/A</v>
      </c>
      <c r="AL92" s="8" t="e">
        <v>#N/A</v>
      </c>
      <c r="AM92" s="8" t="e">
        <v>#N/A</v>
      </c>
      <c r="AN92" s="8" t="e">
        <v>#N/A</v>
      </c>
      <c r="AO92" s="8" t="e">
        <v>#N/A</v>
      </c>
    </row>
    <row r="93" spans="1:41">
      <c r="A93" s="7">
        <v>43115</v>
      </c>
      <c r="B93" s="8" t="s">
        <v>64</v>
      </c>
      <c r="C93" s="8">
        <v>2380</v>
      </c>
      <c r="D93" s="8">
        <v>198</v>
      </c>
      <c r="E93" s="8">
        <v>304</v>
      </c>
      <c r="F93" s="8">
        <v>299</v>
      </c>
      <c r="G93" s="8">
        <v>301</v>
      </c>
      <c r="H93" s="8">
        <v>451</v>
      </c>
      <c r="I93" s="8">
        <v>0</v>
      </c>
      <c r="J93" s="8">
        <v>86</v>
      </c>
      <c r="K93" s="8">
        <v>117</v>
      </c>
      <c r="L93" s="8">
        <v>113</v>
      </c>
      <c r="M93" s="8">
        <v>70</v>
      </c>
      <c r="N93" s="8">
        <v>134</v>
      </c>
      <c r="O93" s="8">
        <v>262</v>
      </c>
      <c r="P93" s="8">
        <v>59</v>
      </c>
      <c r="Q93" s="8">
        <v>24</v>
      </c>
      <c r="R93" s="8">
        <v>184</v>
      </c>
      <c r="S93" s="8">
        <v>183</v>
      </c>
      <c r="T93" s="8">
        <v>438</v>
      </c>
      <c r="U93" s="8">
        <v>264</v>
      </c>
      <c r="V93" s="8">
        <v>444</v>
      </c>
      <c r="W93" s="8">
        <v>529</v>
      </c>
      <c r="X93" s="8">
        <v>525</v>
      </c>
      <c r="Y93" s="8">
        <v>362</v>
      </c>
      <c r="Z93" s="8">
        <v>651</v>
      </c>
      <c r="AA93" s="8">
        <v>193</v>
      </c>
      <c r="AB93" s="8">
        <v>143</v>
      </c>
      <c r="AC93" s="8">
        <v>226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</row>
    <row r="94" spans="1:41">
      <c r="A94" s="7">
        <v>43115</v>
      </c>
      <c r="B94" s="8" t="s">
        <v>65</v>
      </c>
      <c r="C94" s="8">
        <v>2856</v>
      </c>
      <c r="D94" s="8">
        <v>6336</v>
      </c>
      <c r="E94" s="8">
        <v>8160</v>
      </c>
      <c r="F94" s="8">
        <v>142</v>
      </c>
      <c r="G94" s="8">
        <v>142</v>
      </c>
      <c r="H94" s="8">
        <v>330</v>
      </c>
      <c r="I94" s="8">
        <v>80</v>
      </c>
      <c r="J94" s="8">
        <v>80</v>
      </c>
      <c r="K94" s="8">
        <v>120</v>
      </c>
      <c r="L94" s="8">
        <v>40</v>
      </c>
      <c r="M94" s="8">
        <v>80</v>
      </c>
      <c r="N94" s="8">
        <v>40</v>
      </c>
      <c r="O94" s="8">
        <v>90</v>
      </c>
      <c r="P94" s="8">
        <v>315</v>
      </c>
      <c r="Q94" s="8">
        <v>180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200</v>
      </c>
      <c r="Y94" s="8">
        <v>40</v>
      </c>
      <c r="Z94" s="8">
        <v>200</v>
      </c>
      <c r="AA94" s="8">
        <v>40</v>
      </c>
      <c r="AB94" s="8">
        <v>80</v>
      </c>
      <c r="AC94" s="8">
        <v>40</v>
      </c>
    </row>
    <row r="95" spans="1:41">
      <c r="A95" s="7">
        <v>43115</v>
      </c>
      <c r="B95" s="8" t="s">
        <v>66</v>
      </c>
      <c r="C95" s="8">
        <v>4</v>
      </c>
      <c r="D95" s="8">
        <v>2</v>
      </c>
      <c r="E95" s="8">
        <v>0</v>
      </c>
      <c r="F95" s="8">
        <v>0</v>
      </c>
      <c r="G95" s="8">
        <v>0</v>
      </c>
      <c r="H95" s="8">
        <v>0</v>
      </c>
      <c r="I95" s="8">
        <v>80</v>
      </c>
      <c r="J95" s="8">
        <v>0</v>
      </c>
      <c r="K95" s="8">
        <v>0</v>
      </c>
      <c r="L95" s="8">
        <v>0</v>
      </c>
      <c r="M95" s="8">
        <v>0</v>
      </c>
      <c r="N95" s="8">
        <v>0</v>
      </c>
      <c r="O95" s="8">
        <v>90</v>
      </c>
      <c r="P95" s="8">
        <v>90</v>
      </c>
      <c r="Q95" s="8">
        <v>270</v>
      </c>
      <c r="R95" s="8">
        <v>0</v>
      </c>
      <c r="S95" s="8">
        <v>0</v>
      </c>
      <c r="T95" s="8"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0</v>
      </c>
      <c r="AB95" s="8">
        <v>0</v>
      </c>
      <c r="AC95" s="8">
        <v>0</v>
      </c>
      <c r="AJ95" s="8" t="e">
        <v>#N/A</v>
      </c>
      <c r="AK95" s="8" t="e">
        <v>#N/A</v>
      </c>
      <c r="AL95" s="8" t="e">
        <v>#N/A</v>
      </c>
      <c r="AM95" s="8" t="e">
        <v>#N/A</v>
      </c>
      <c r="AN95" s="8" t="e">
        <v>#N/A</v>
      </c>
      <c r="AO95" s="8" t="e">
        <v>#N/A</v>
      </c>
    </row>
    <row r="96" spans="1:41">
      <c r="A96" s="7">
        <v>43115</v>
      </c>
      <c r="B96" s="8" t="s">
        <v>64</v>
      </c>
      <c r="C96" s="8">
        <v>2380</v>
      </c>
      <c r="D96" s="8">
        <v>198</v>
      </c>
      <c r="E96" s="8">
        <v>304</v>
      </c>
      <c r="F96" s="8">
        <v>299</v>
      </c>
      <c r="G96" s="8">
        <v>301</v>
      </c>
      <c r="H96" s="8">
        <v>451</v>
      </c>
      <c r="I96" s="8">
        <v>0</v>
      </c>
      <c r="J96" s="8">
        <v>86</v>
      </c>
      <c r="K96" s="8">
        <v>117</v>
      </c>
      <c r="L96" s="8">
        <v>113</v>
      </c>
      <c r="M96" s="8">
        <v>70</v>
      </c>
      <c r="N96" s="8">
        <v>134</v>
      </c>
      <c r="O96" s="8">
        <v>262</v>
      </c>
      <c r="P96" s="8">
        <v>59</v>
      </c>
      <c r="Q96" s="8">
        <v>24</v>
      </c>
      <c r="R96" s="8">
        <v>184</v>
      </c>
      <c r="S96" s="8">
        <v>183</v>
      </c>
      <c r="T96" s="8">
        <v>438</v>
      </c>
      <c r="U96" s="8">
        <v>264</v>
      </c>
      <c r="V96" s="8">
        <v>444</v>
      </c>
      <c r="W96" s="8">
        <v>529</v>
      </c>
      <c r="X96" s="8">
        <v>525</v>
      </c>
      <c r="Y96" s="8">
        <v>362</v>
      </c>
      <c r="Z96" s="8">
        <v>651</v>
      </c>
      <c r="AA96" s="8">
        <v>193</v>
      </c>
      <c r="AB96" s="8">
        <v>143</v>
      </c>
      <c r="AC96" s="8">
        <v>226</v>
      </c>
      <c r="AJ96" s="8">
        <v>0</v>
      </c>
      <c r="AK96" s="8">
        <v>0</v>
      </c>
      <c r="AL96" s="8">
        <v>0</v>
      </c>
      <c r="AM96" s="8">
        <v>0</v>
      </c>
      <c r="AN96" s="8">
        <v>0</v>
      </c>
      <c r="AO96" s="8">
        <v>0</v>
      </c>
    </row>
    <row r="97" spans="1:41">
      <c r="A97" s="7">
        <v>43115</v>
      </c>
      <c r="B97" s="8" t="s">
        <v>65</v>
      </c>
      <c r="C97" s="8">
        <v>2856</v>
      </c>
      <c r="D97" s="8">
        <v>6336</v>
      </c>
      <c r="E97" s="8">
        <v>8160</v>
      </c>
      <c r="F97" s="8">
        <v>142</v>
      </c>
      <c r="G97" s="8">
        <v>142</v>
      </c>
      <c r="H97" s="8">
        <v>330</v>
      </c>
      <c r="I97" s="8">
        <v>120</v>
      </c>
      <c r="J97" s="8">
        <v>80</v>
      </c>
      <c r="K97" s="8">
        <v>80</v>
      </c>
      <c r="L97" s="8">
        <v>40</v>
      </c>
      <c r="M97" s="8">
        <v>80</v>
      </c>
      <c r="N97" s="8">
        <v>80</v>
      </c>
      <c r="O97" s="8">
        <v>90</v>
      </c>
      <c r="P97" s="8">
        <v>315</v>
      </c>
      <c r="Q97" s="8">
        <v>180</v>
      </c>
      <c r="R97" s="8">
        <v>0</v>
      </c>
      <c r="S97" s="8">
        <v>0</v>
      </c>
      <c r="T97" s="8">
        <v>0</v>
      </c>
      <c r="U97" s="8">
        <v>0</v>
      </c>
      <c r="V97" s="8">
        <v>0</v>
      </c>
      <c r="W97" s="8">
        <v>0</v>
      </c>
      <c r="X97" s="8">
        <v>200</v>
      </c>
      <c r="Y97" s="8">
        <v>40</v>
      </c>
      <c r="Z97" s="8">
        <v>200</v>
      </c>
      <c r="AA97" s="8">
        <v>40</v>
      </c>
      <c r="AB97" s="8">
        <v>80</v>
      </c>
      <c r="AC97" s="8">
        <v>40</v>
      </c>
    </row>
    <row r="98" spans="1:41">
      <c r="A98" s="7">
        <v>43115</v>
      </c>
      <c r="B98" s="8" t="s">
        <v>66</v>
      </c>
      <c r="C98" s="8">
        <v>4</v>
      </c>
      <c r="D98" s="8">
        <v>2</v>
      </c>
      <c r="E98" s="8">
        <v>0</v>
      </c>
      <c r="F98" s="8">
        <v>0</v>
      </c>
      <c r="G98" s="8">
        <v>0</v>
      </c>
      <c r="H98" s="8">
        <v>0</v>
      </c>
      <c r="I98" s="8">
        <v>80</v>
      </c>
      <c r="J98" s="8">
        <v>40</v>
      </c>
      <c r="K98" s="8">
        <v>0</v>
      </c>
      <c r="L98" s="8">
        <v>0</v>
      </c>
      <c r="M98" s="8">
        <v>0</v>
      </c>
      <c r="N98" s="8">
        <v>0</v>
      </c>
      <c r="O98" s="8">
        <v>90</v>
      </c>
      <c r="P98" s="8">
        <v>90</v>
      </c>
      <c r="Q98" s="8">
        <v>270</v>
      </c>
      <c r="R98" s="8">
        <v>0</v>
      </c>
      <c r="S98" s="8">
        <v>0</v>
      </c>
      <c r="T98" s="8">
        <v>0</v>
      </c>
      <c r="U98" s="8">
        <v>0</v>
      </c>
      <c r="V98" s="8">
        <v>0</v>
      </c>
      <c r="W98" s="8">
        <v>0</v>
      </c>
      <c r="X98" s="8">
        <v>0</v>
      </c>
      <c r="Y98" s="8">
        <v>0</v>
      </c>
      <c r="Z98" s="8">
        <v>0</v>
      </c>
      <c r="AA98" s="8">
        <v>0</v>
      </c>
      <c r="AB98" s="8">
        <v>0</v>
      </c>
      <c r="AC98" s="8">
        <v>0</v>
      </c>
      <c r="AJ98" s="8" t="e">
        <v>#N/A</v>
      </c>
      <c r="AK98" s="8" t="e">
        <v>#N/A</v>
      </c>
      <c r="AL98" s="8" t="e">
        <v>#N/A</v>
      </c>
      <c r="AM98" s="8" t="e">
        <v>#N/A</v>
      </c>
      <c r="AN98" s="8" t="e">
        <v>#N/A</v>
      </c>
      <c r="AO98" s="8" t="e">
        <v>#N/A</v>
      </c>
    </row>
    <row r="99" spans="1:41">
      <c r="A99" s="7">
        <v>43122</v>
      </c>
      <c r="B99" s="8" t="s">
        <v>64</v>
      </c>
      <c r="C99" s="8">
        <v>1904</v>
      </c>
      <c r="D99" s="8">
        <v>4114</v>
      </c>
      <c r="E99" s="8">
        <v>3842</v>
      </c>
      <c r="F99" s="8">
        <v>370</v>
      </c>
      <c r="G99" s="8">
        <v>354</v>
      </c>
      <c r="H99" s="8">
        <v>593</v>
      </c>
      <c r="I99" s="8">
        <v>0</v>
      </c>
      <c r="J99" s="8">
        <v>85</v>
      </c>
      <c r="K99" s="8">
        <v>77</v>
      </c>
      <c r="L99" s="8">
        <v>113</v>
      </c>
      <c r="M99" s="8">
        <v>70</v>
      </c>
      <c r="N99" s="8">
        <v>134</v>
      </c>
      <c r="O99" s="8">
        <v>253</v>
      </c>
      <c r="P99" s="8">
        <v>234</v>
      </c>
      <c r="Q99" s="8">
        <v>0</v>
      </c>
      <c r="R99" s="8">
        <v>155</v>
      </c>
      <c r="S99" s="8">
        <v>171</v>
      </c>
      <c r="T99" s="8">
        <v>383</v>
      </c>
      <c r="U99" s="8">
        <v>257</v>
      </c>
      <c r="V99" s="8">
        <v>440</v>
      </c>
      <c r="W99" s="8">
        <v>522</v>
      </c>
      <c r="X99" s="8">
        <v>739</v>
      </c>
      <c r="Y99" s="8">
        <v>437</v>
      </c>
      <c r="Z99" s="8">
        <v>887</v>
      </c>
      <c r="AA99" s="8">
        <v>234</v>
      </c>
      <c r="AB99" s="8">
        <v>213</v>
      </c>
      <c r="AC99" s="8">
        <v>266</v>
      </c>
      <c r="AJ99" s="8">
        <v>0</v>
      </c>
      <c r="AK99" s="8">
        <v>0</v>
      </c>
      <c r="AL99" s="8">
        <v>0</v>
      </c>
      <c r="AM99" s="8">
        <v>0</v>
      </c>
      <c r="AN99" s="8">
        <v>0</v>
      </c>
      <c r="AO99" s="8">
        <v>0</v>
      </c>
    </row>
    <row r="100" spans="1:41">
      <c r="A100" s="7">
        <v>43122</v>
      </c>
      <c r="B100" s="8" t="s">
        <v>65</v>
      </c>
      <c r="C100" s="8">
        <v>3332</v>
      </c>
      <c r="D100" s="8">
        <v>2304</v>
      </c>
      <c r="E100" s="8">
        <v>2856</v>
      </c>
      <c r="F100" s="8">
        <v>0</v>
      </c>
      <c r="G100" s="8">
        <v>0</v>
      </c>
      <c r="H100" s="8">
        <v>0</v>
      </c>
      <c r="I100" s="8">
        <v>200</v>
      </c>
      <c r="J100" s="8">
        <v>120</v>
      </c>
      <c r="K100" s="8">
        <v>80</v>
      </c>
      <c r="L100" s="8">
        <v>40</v>
      </c>
      <c r="M100" s="8">
        <v>80</v>
      </c>
      <c r="N100" s="8">
        <v>80</v>
      </c>
      <c r="O100" s="8">
        <v>90</v>
      </c>
      <c r="P100" s="8">
        <v>90</v>
      </c>
      <c r="Q100" s="8">
        <v>270</v>
      </c>
      <c r="R100" s="8">
        <v>0</v>
      </c>
      <c r="S100" s="8">
        <v>0</v>
      </c>
      <c r="T100" s="8">
        <v>0</v>
      </c>
      <c r="U100" s="8">
        <v>0</v>
      </c>
      <c r="V100" s="8">
        <v>0</v>
      </c>
      <c r="W100" s="8">
        <v>0</v>
      </c>
      <c r="X100" s="8">
        <v>0</v>
      </c>
      <c r="Y100" s="8">
        <v>0</v>
      </c>
      <c r="Z100" s="8">
        <v>0</v>
      </c>
      <c r="AA100" s="8">
        <v>0</v>
      </c>
      <c r="AB100" s="8">
        <v>0</v>
      </c>
      <c r="AC100" s="8">
        <v>0</v>
      </c>
    </row>
    <row r="101" spans="1:41">
      <c r="A101" s="7">
        <v>43122</v>
      </c>
      <c r="B101" s="8" t="s">
        <v>66</v>
      </c>
      <c r="C101" s="8">
        <v>4</v>
      </c>
      <c r="D101" s="8">
        <v>2</v>
      </c>
      <c r="E101" s="8">
        <v>0</v>
      </c>
      <c r="F101" s="8">
        <v>0</v>
      </c>
      <c r="G101" s="8">
        <v>0</v>
      </c>
      <c r="H101" s="8">
        <v>0</v>
      </c>
      <c r="I101" s="8">
        <v>0</v>
      </c>
      <c r="J101" s="8">
        <v>0</v>
      </c>
      <c r="K101" s="8">
        <v>0</v>
      </c>
      <c r="L101" s="8">
        <v>0</v>
      </c>
      <c r="M101" s="8">
        <v>0</v>
      </c>
      <c r="N101" s="8">
        <v>0</v>
      </c>
      <c r="O101" s="8">
        <v>0</v>
      </c>
      <c r="P101" s="8">
        <v>0</v>
      </c>
      <c r="Q101" s="8">
        <v>0</v>
      </c>
      <c r="R101" s="8">
        <v>0</v>
      </c>
      <c r="S101" s="8">
        <v>0</v>
      </c>
      <c r="T101" s="8">
        <v>0</v>
      </c>
      <c r="U101" s="8">
        <v>0</v>
      </c>
      <c r="V101" s="8">
        <v>0</v>
      </c>
      <c r="W101" s="8">
        <v>0</v>
      </c>
      <c r="X101" s="8">
        <v>0</v>
      </c>
      <c r="Y101" s="8">
        <v>0</v>
      </c>
      <c r="Z101" s="8">
        <v>0</v>
      </c>
      <c r="AA101" s="8">
        <v>0</v>
      </c>
      <c r="AB101" s="8">
        <v>0</v>
      </c>
      <c r="AC101" s="8">
        <v>0</v>
      </c>
      <c r="AJ101" s="8" t="e">
        <v>#N/A</v>
      </c>
      <c r="AK101" s="8" t="e">
        <v>#N/A</v>
      </c>
      <c r="AL101" s="8" t="e">
        <v>#N/A</v>
      </c>
      <c r="AM101" s="8" t="e">
        <v>#N/A</v>
      </c>
      <c r="AN101" s="8" t="e">
        <v>#N/A</v>
      </c>
      <c r="AO101" s="8" t="e">
        <v>#N/A</v>
      </c>
    </row>
    <row r="102" spans="1:41">
      <c r="A102" s="7">
        <v>43130</v>
      </c>
      <c r="B102" s="8" t="s">
        <v>64</v>
      </c>
      <c r="C102" s="8">
        <v>3196</v>
      </c>
      <c r="D102" s="8">
        <v>4454</v>
      </c>
      <c r="E102" s="8">
        <v>4624</v>
      </c>
      <c r="F102" s="8">
        <v>375</v>
      </c>
      <c r="G102" s="8">
        <v>450</v>
      </c>
      <c r="H102" s="8">
        <v>528</v>
      </c>
      <c r="I102" s="8">
        <v>116</v>
      </c>
      <c r="J102" s="8">
        <v>165</v>
      </c>
      <c r="K102" s="8">
        <v>62</v>
      </c>
      <c r="L102" s="8">
        <v>153</v>
      </c>
      <c r="M102" s="8">
        <v>150</v>
      </c>
      <c r="N102" s="8">
        <v>155</v>
      </c>
      <c r="O102" s="8">
        <v>200</v>
      </c>
      <c r="P102" s="8">
        <v>155</v>
      </c>
      <c r="Q102" s="8">
        <v>0</v>
      </c>
      <c r="R102" s="8">
        <v>142</v>
      </c>
      <c r="S102" s="8">
        <v>161</v>
      </c>
      <c r="T102" s="8">
        <v>405</v>
      </c>
      <c r="U102" s="8">
        <v>262</v>
      </c>
      <c r="V102" s="8">
        <v>438</v>
      </c>
      <c r="W102" s="8">
        <v>507</v>
      </c>
      <c r="X102" s="8">
        <v>757</v>
      </c>
      <c r="Y102" s="8">
        <v>395</v>
      </c>
      <c r="Z102" s="8">
        <v>840</v>
      </c>
      <c r="AA102" s="8">
        <v>234</v>
      </c>
      <c r="AB102" s="8">
        <v>233</v>
      </c>
      <c r="AC102" s="8">
        <v>265</v>
      </c>
      <c r="AJ102" s="8">
        <v>0</v>
      </c>
      <c r="AK102" s="8">
        <v>0</v>
      </c>
      <c r="AL102" s="8">
        <v>0</v>
      </c>
      <c r="AM102" s="8">
        <v>0</v>
      </c>
      <c r="AN102" s="8">
        <v>0</v>
      </c>
      <c r="AO102" s="8">
        <v>0</v>
      </c>
    </row>
    <row r="103" spans="1:41">
      <c r="A103" s="7">
        <v>43130</v>
      </c>
      <c r="B103" s="8" t="s">
        <v>65</v>
      </c>
      <c r="C103" s="8">
        <v>1904</v>
      </c>
      <c r="D103" s="8">
        <v>1152</v>
      </c>
      <c r="E103" s="8">
        <v>0</v>
      </c>
      <c r="F103" s="8">
        <v>0</v>
      </c>
      <c r="G103" s="8">
        <v>0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  <c r="T103" s="8">
        <v>0</v>
      </c>
      <c r="U103" s="8">
        <v>0</v>
      </c>
      <c r="V103" s="8">
        <v>0</v>
      </c>
      <c r="W103" s="8">
        <v>0</v>
      </c>
      <c r="X103" s="8">
        <v>0</v>
      </c>
      <c r="Y103" s="8">
        <v>0</v>
      </c>
      <c r="Z103" s="8">
        <v>0</v>
      </c>
      <c r="AA103" s="8">
        <v>0</v>
      </c>
      <c r="AB103" s="8">
        <v>0</v>
      </c>
      <c r="AC103" s="8">
        <v>0</v>
      </c>
    </row>
    <row r="104" spans="1:41">
      <c r="A104" s="7">
        <v>43130</v>
      </c>
      <c r="B104" s="8" t="s">
        <v>66</v>
      </c>
      <c r="C104" s="8">
        <v>4</v>
      </c>
      <c r="D104" s="8">
        <v>3</v>
      </c>
      <c r="E104" s="8">
        <v>2</v>
      </c>
      <c r="F104" s="8">
        <v>0</v>
      </c>
      <c r="G104" s="8">
        <v>0</v>
      </c>
      <c r="H104" s="8">
        <v>0</v>
      </c>
      <c r="I104" s="8">
        <v>40</v>
      </c>
      <c r="J104" s="8">
        <v>0</v>
      </c>
      <c r="K104" s="8">
        <v>120</v>
      </c>
      <c r="L104" s="8">
        <v>0</v>
      </c>
      <c r="M104" s="8">
        <v>0</v>
      </c>
      <c r="N104" s="8">
        <v>0</v>
      </c>
      <c r="O104" s="8">
        <v>135</v>
      </c>
      <c r="P104" s="8">
        <v>315</v>
      </c>
      <c r="Q104" s="8">
        <v>450</v>
      </c>
      <c r="R104" s="8">
        <v>165</v>
      </c>
      <c r="S104" s="8">
        <v>66</v>
      </c>
      <c r="T104" s="8">
        <v>0</v>
      </c>
      <c r="U104" s="8">
        <v>0</v>
      </c>
      <c r="V104" s="8">
        <v>0</v>
      </c>
      <c r="W104" s="8">
        <v>0</v>
      </c>
      <c r="X104" s="8">
        <v>0</v>
      </c>
      <c r="Y104" s="8">
        <v>0</v>
      </c>
      <c r="Z104" s="8">
        <v>0</v>
      </c>
      <c r="AA104" s="8">
        <v>0</v>
      </c>
      <c r="AB104" s="8">
        <v>0</v>
      </c>
      <c r="AC104" s="8">
        <v>0</v>
      </c>
      <c r="AJ104" s="8" t="e">
        <v>#N/A</v>
      </c>
      <c r="AK104" s="8" t="e">
        <v>#N/A</v>
      </c>
      <c r="AL104" s="8" t="e">
        <v>#N/A</v>
      </c>
      <c r="AM104" s="8" t="e">
        <v>#N/A</v>
      </c>
      <c r="AN104" s="8" t="e">
        <v>#N/A</v>
      </c>
      <c r="AO104" s="8" t="e">
        <v>#N/A</v>
      </c>
    </row>
    <row r="105" spans="1:41">
      <c r="A105" s="7">
        <v>43136</v>
      </c>
      <c r="B105" s="8" t="s">
        <v>64</v>
      </c>
      <c r="C105" s="8">
        <v>3400</v>
      </c>
      <c r="D105" s="8">
        <v>3162</v>
      </c>
      <c r="E105" s="8">
        <v>1670</v>
      </c>
      <c r="F105" s="8">
        <v>319</v>
      </c>
      <c r="G105" s="8">
        <v>365</v>
      </c>
      <c r="H105" s="8">
        <v>423</v>
      </c>
      <c r="I105" s="8">
        <v>196</v>
      </c>
      <c r="J105" s="8">
        <v>208</v>
      </c>
      <c r="K105" s="8">
        <v>90</v>
      </c>
      <c r="L105" s="8">
        <v>153</v>
      </c>
      <c r="M105" s="8">
        <v>150</v>
      </c>
      <c r="N105" s="8">
        <v>155</v>
      </c>
      <c r="O105" s="8">
        <v>220</v>
      </c>
      <c r="P105" s="8">
        <v>141</v>
      </c>
      <c r="Q105" s="8">
        <v>111</v>
      </c>
      <c r="R105" s="8">
        <v>123</v>
      </c>
      <c r="S105" s="8">
        <v>145</v>
      </c>
      <c r="T105" s="8">
        <v>361</v>
      </c>
      <c r="U105" s="8">
        <v>262</v>
      </c>
      <c r="V105" s="8">
        <v>438</v>
      </c>
      <c r="W105" s="8">
        <v>500</v>
      </c>
      <c r="X105" s="8">
        <v>726</v>
      </c>
      <c r="Y105" s="8">
        <v>396</v>
      </c>
      <c r="Z105" s="8">
        <v>663</v>
      </c>
      <c r="AA105" s="8">
        <v>236</v>
      </c>
      <c r="AB105" s="8">
        <v>214</v>
      </c>
      <c r="AC105" s="8">
        <v>265</v>
      </c>
      <c r="AJ105" s="8">
        <v>0</v>
      </c>
      <c r="AK105" s="8">
        <v>0</v>
      </c>
      <c r="AL105" s="8">
        <v>0</v>
      </c>
      <c r="AM105" s="8">
        <v>0</v>
      </c>
      <c r="AN105" s="8">
        <v>0</v>
      </c>
      <c r="AO105" s="8">
        <v>0</v>
      </c>
    </row>
    <row r="106" spans="1:41">
      <c r="A106" s="7">
        <v>43136</v>
      </c>
      <c r="B106" s="8" t="s">
        <v>65</v>
      </c>
      <c r="C106" s="8">
        <v>1904</v>
      </c>
      <c r="D106" s="8">
        <v>2312</v>
      </c>
      <c r="E106" s="8">
        <v>1428</v>
      </c>
      <c r="F106" s="8">
        <v>0</v>
      </c>
      <c r="G106" s="8">
        <v>0</v>
      </c>
      <c r="H106" s="8">
        <v>0</v>
      </c>
      <c r="I106" s="8">
        <v>120</v>
      </c>
      <c r="J106" s="8">
        <v>0</v>
      </c>
      <c r="K106" s="8">
        <v>135</v>
      </c>
      <c r="L106" s="8">
        <v>0</v>
      </c>
      <c r="M106" s="8">
        <v>0</v>
      </c>
      <c r="N106" s="8">
        <v>0</v>
      </c>
      <c r="O106" s="8">
        <v>135</v>
      </c>
      <c r="P106" s="8">
        <v>315</v>
      </c>
      <c r="Q106" s="8">
        <v>450</v>
      </c>
      <c r="R106" s="8">
        <v>0</v>
      </c>
      <c r="S106" s="8">
        <v>0</v>
      </c>
      <c r="T106" s="8">
        <v>0</v>
      </c>
      <c r="U106" s="8">
        <v>0</v>
      </c>
      <c r="V106" s="8">
        <v>0</v>
      </c>
      <c r="W106" s="8">
        <v>0</v>
      </c>
      <c r="X106" s="8">
        <v>0</v>
      </c>
      <c r="Y106" s="8">
        <v>0</v>
      </c>
      <c r="Z106" s="8">
        <v>0</v>
      </c>
      <c r="AA106" s="8">
        <v>0</v>
      </c>
      <c r="AB106" s="8">
        <v>0</v>
      </c>
      <c r="AC106" s="8">
        <v>0</v>
      </c>
    </row>
    <row r="107" spans="1:41">
      <c r="A107" s="7">
        <v>43136</v>
      </c>
      <c r="B107" s="8" t="s">
        <v>66</v>
      </c>
      <c r="C107" s="8">
        <v>4</v>
      </c>
      <c r="D107" s="8">
        <v>3</v>
      </c>
      <c r="E107" s="8">
        <v>4</v>
      </c>
      <c r="F107" s="8">
        <v>68</v>
      </c>
      <c r="G107" s="8">
        <v>34</v>
      </c>
      <c r="H107" s="8">
        <v>204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0</v>
      </c>
      <c r="O107" s="8">
        <v>0</v>
      </c>
      <c r="P107" s="8">
        <v>0</v>
      </c>
      <c r="Q107" s="8">
        <v>0</v>
      </c>
      <c r="R107" s="8">
        <v>0</v>
      </c>
      <c r="S107" s="8">
        <v>0</v>
      </c>
      <c r="T107" s="8">
        <v>0</v>
      </c>
      <c r="U107" s="8">
        <v>0</v>
      </c>
      <c r="V107" s="8">
        <v>0</v>
      </c>
      <c r="W107" s="8">
        <v>0</v>
      </c>
      <c r="X107" s="8">
        <v>0</v>
      </c>
      <c r="Y107" s="8">
        <v>0</v>
      </c>
      <c r="Z107" s="8">
        <v>0</v>
      </c>
      <c r="AA107" s="8">
        <v>0</v>
      </c>
      <c r="AB107" s="8">
        <v>0</v>
      </c>
      <c r="AC107" s="8">
        <v>0</v>
      </c>
      <c r="AJ107" s="8" t="e">
        <v>#N/A</v>
      </c>
      <c r="AK107" s="8" t="e">
        <v>#N/A</v>
      </c>
      <c r="AL107" s="8" t="e">
        <v>#N/A</v>
      </c>
      <c r="AM107" s="8" t="e">
        <v>#N/A</v>
      </c>
      <c r="AN107" s="8" t="e">
        <v>#N/A</v>
      </c>
      <c r="AO107" s="8" t="e">
        <v>#N/A</v>
      </c>
    </row>
    <row r="108" spans="1:41">
      <c r="A108" s="7">
        <v>43143</v>
      </c>
      <c r="B108" s="8" t="s">
        <v>64</v>
      </c>
      <c r="C108" s="8">
        <v>3876</v>
      </c>
      <c r="D108" s="8">
        <v>2414</v>
      </c>
      <c r="E108" s="8">
        <v>1020</v>
      </c>
      <c r="F108" s="8">
        <v>291</v>
      </c>
      <c r="G108" s="8">
        <v>357</v>
      </c>
      <c r="H108" s="8">
        <v>320</v>
      </c>
      <c r="I108" s="8">
        <v>260</v>
      </c>
      <c r="J108" s="8">
        <v>210</v>
      </c>
      <c r="K108" s="8">
        <v>361</v>
      </c>
      <c r="L108" s="8">
        <v>153</v>
      </c>
      <c r="M108" s="8">
        <v>150</v>
      </c>
      <c r="N108" s="8">
        <v>154</v>
      </c>
      <c r="O108" s="8">
        <v>305</v>
      </c>
      <c r="P108" s="8">
        <v>392</v>
      </c>
      <c r="Q108" s="8">
        <v>372</v>
      </c>
      <c r="R108" s="8">
        <v>110</v>
      </c>
      <c r="S108" s="8">
        <v>132</v>
      </c>
      <c r="T108" s="8">
        <v>342</v>
      </c>
      <c r="U108" s="8">
        <v>255</v>
      </c>
      <c r="V108" s="8">
        <v>430</v>
      </c>
      <c r="W108" s="8">
        <v>485</v>
      </c>
      <c r="X108" s="8">
        <v>725</v>
      </c>
      <c r="Y108" s="8">
        <v>392</v>
      </c>
      <c r="Z108" s="8">
        <v>663</v>
      </c>
      <c r="AA108" s="8">
        <v>236</v>
      </c>
      <c r="AB108" s="8">
        <v>213</v>
      </c>
      <c r="AC108" s="8">
        <v>264</v>
      </c>
      <c r="AJ108" s="8">
        <v>0</v>
      </c>
      <c r="AK108" s="8">
        <v>0</v>
      </c>
      <c r="AL108" s="8">
        <v>0</v>
      </c>
      <c r="AM108" s="8">
        <v>0</v>
      </c>
      <c r="AN108" s="8">
        <v>0</v>
      </c>
      <c r="AO108" s="8">
        <v>0</v>
      </c>
    </row>
    <row r="109" spans="1:41">
      <c r="A109" s="7">
        <v>43143</v>
      </c>
      <c r="B109" s="8" t="s">
        <v>65</v>
      </c>
      <c r="C109" s="8">
        <v>3332</v>
      </c>
      <c r="D109" s="8">
        <v>4624</v>
      </c>
      <c r="E109" s="8">
        <v>6596</v>
      </c>
      <c r="F109" s="8">
        <v>40</v>
      </c>
      <c r="G109" s="8">
        <v>80</v>
      </c>
      <c r="H109" s="8">
        <v>240</v>
      </c>
      <c r="I109" s="8">
        <v>0</v>
      </c>
      <c r="J109" s="8">
        <v>0</v>
      </c>
      <c r="K109" s="8">
        <v>0</v>
      </c>
      <c r="L109" s="8">
        <v>0</v>
      </c>
      <c r="M109" s="8">
        <v>0</v>
      </c>
      <c r="N109" s="8">
        <v>0</v>
      </c>
      <c r="O109" s="8">
        <v>0</v>
      </c>
      <c r="P109" s="8">
        <v>0</v>
      </c>
      <c r="Q109" s="8">
        <v>0</v>
      </c>
      <c r="R109" s="8">
        <v>0</v>
      </c>
      <c r="S109" s="8">
        <v>0</v>
      </c>
      <c r="T109" s="8">
        <v>0</v>
      </c>
      <c r="U109" s="8">
        <v>0</v>
      </c>
      <c r="V109" s="8">
        <v>0</v>
      </c>
      <c r="W109" s="8">
        <v>0</v>
      </c>
      <c r="X109" s="8">
        <v>0</v>
      </c>
      <c r="Y109" s="8">
        <v>0</v>
      </c>
      <c r="Z109" s="8">
        <v>0</v>
      </c>
      <c r="AA109" s="8">
        <v>0</v>
      </c>
      <c r="AB109" s="8">
        <v>0</v>
      </c>
      <c r="AC109" s="8">
        <v>0</v>
      </c>
    </row>
    <row r="110" spans="1:41">
      <c r="A110" s="7">
        <v>43143</v>
      </c>
      <c r="B110" s="8" t="s">
        <v>66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8">
        <v>0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 s="8">
        <v>0</v>
      </c>
      <c r="R110" s="8">
        <v>0</v>
      </c>
      <c r="S110" s="8">
        <v>0</v>
      </c>
      <c r="T110" s="8">
        <v>0</v>
      </c>
      <c r="U110" s="8">
        <v>0</v>
      </c>
      <c r="V110" s="8">
        <v>0</v>
      </c>
      <c r="W110" s="8">
        <v>0</v>
      </c>
      <c r="X110" s="8">
        <v>0</v>
      </c>
      <c r="Y110" s="8">
        <v>0</v>
      </c>
      <c r="Z110" s="8">
        <v>0</v>
      </c>
      <c r="AA110" s="8">
        <v>0</v>
      </c>
      <c r="AB110" s="8">
        <v>0</v>
      </c>
      <c r="AC110" s="8">
        <v>0</v>
      </c>
      <c r="AJ110" s="8" t="e">
        <v>#N/A</v>
      </c>
      <c r="AK110" s="8" t="e">
        <v>#N/A</v>
      </c>
      <c r="AL110" s="8" t="e">
        <v>#N/A</v>
      </c>
      <c r="AM110" s="8" t="e">
        <v>#N/A</v>
      </c>
      <c r="AN110" s="8" t="e">
        <v>#N/A</v>
      </c>
      <c r="AO110" s="8" t="e">
        <v>#N/A</v>
      </c>
    </row>
    <row r="111" spans="1:41">
      <c r="A111" s="7">
        <v>43143</v>
      </c>
      <c r="B111" s="8" t="s">
        <v>64</v>
      </c>
      <c r="C111" s="8">
        <v>3876</v>
      </c>
      <c r="D111" s="8">
        <v>2414</v>
      </c>
      <c r="E111" s="8">
        <v>1020</v>
      </c>
      <c r="F111" s="8">
        <v>291</v>
      </c>
      <c r="G111" s="8">
        <v>357</v>
      </c>
      <c r="H111" s="8">
        <v>320</v>
      </c>
      <c r="I111" s="8">
        <v>260</v>
      </c>
      <c r="J111" s="8">
        <v>210</v>
      </c>
      <c r="K111" s="8">
        <v>361</v>
      </c>
      <c r="L111" s="8">
        <v>153</v>
      </c>
      <c r="M111" s="8">
        <v>150</v>
      </c>
      <c r="N111" s="8">
        <v>154</v>
      </c>
      <c r="O111" s="8">
        <v>305</v>
      </c>
      <c r="P111" s="8">
        <v>392</v>
      </c>
      <c r="Q111" s="8">
        <v>372</v>
      </c>
      <c r="R111" s="8">
        <v>110</v>
      </c>
      <c r="S111" s="8">
        <v>132</v>
      </c>
      <c r="T111" s="8">
        <v>342</v>
      </c>
      <c r="U111" s="8">
        <v>255</v>
      </c>
      <c r="V111" s="8">
        <v>430</v>
      </c>
      <c r="W111" s="8">
        <v>485</v>
      </c>
      <c r="X111" s="8">
        <v>725</v>
      </c>
      <c r="Y111" s="8">
        <v>392</v>
      </c>
      <c r="Z111" s="8">
        <v>863</v>
      </c>
      <c r="AA111" s="8">
        <v>236</v>
      </c>
      <c r="AB111" s="8">
        <v>213</v>
      </c>
      <c r="AC111" s="8">
        <v>264</v>
      </c>
      <c r="AJ111" s="8">
        <v>0</v>
      </c>
      <c r="AK111" s="8">
        <v>0</v>
      </c>
      <c r="AL111" s="8">
        <v>0</v>
      </c>
      <c r="AM111" s="8">
        <v>0</v>
      </c>
      <c r="AN111" s="8">
        <v>0</v>
      </c>
      <c r="AO111" s="8">
        <v>0</v>
      </c>
    </row>
    <row r="112" spans="1:41">
      <c r="A112" s="7">
        <v>43143</v>
      </c>
      <c r="B112" s="8" t="s">
        <v>65</v>
      </c>
      <c r="C112" s="8">
        <v>3332</v>
      </c>
      <c r="D112" s="8">
        <v>4624</v>
      </c>
      <c r="E112" s="8">
        <v>6596</v>
      </c>
      <c r="F112" s="8">
        <v>40</v>
      </c>
      <c r="G112" s="8">
        <v>80</v>
      </c>
      <c r="H112" s="8">
        <v>240</v>
      </c>
      <c r="I112" s="8">
        <v>0</v>
      </c>
      <c r="J112" s="8">
        <v>0</v>
      </c>
      <c r="K112" s="8">
        <v>0</v>
      </c>
      <c r="L112" s="8">
        <v>0</v>
      </c>
      <c r="M112" s="8">
        <v>0</v>
      </c>
      <c r="N112" s="8">
        <v>0</v>
      </c>
      <c r="O112" s="8">
        <v>0</v>
      </c>
      <c r="P112" s="8">
        <v>0</v>
      </c>
      <c r="Q112" s="8">
        <v>0</v>
      </c>
      <c r="R112" s="8">
        <v>0</v>
      </c>
      <c r="S112" s="8">
        <v>0</v>
      </c>
      <c r="T112" s="8">
        <v>0</v>
      </c>
      <c r="U112" s="8">
        <v>0</v>
      </c>
      <c r="V112" s="8">
        <v>0</v>
      </c>
      <c r="W112" s="8">
        <v>0</v>
      </c>
      <c r="X112" s="8">
        <v>0</v>
      </c>
      <c r="Y112" s="8">
        <v>0</v>
      </c>
      <c r="Z112" s="8">
        <v>0</v>
      </c>
      <c r="AA112" s="8">
        <v>0</v>
      </c>
      <c r="AB112" s="8">
        <v>0</v>
      </c>
      <c r="AC112" s="8">
        <v>0</v>
      </c>
    </row>
    <row r="113" spans="1:41">
      <c r="A113" s="7">
        <v>43143</v>
      </c>
      <c r="B113" s="8" t="s">
        <v>66</v>
      </c>
      <c r="C113" s="8">
        <v>0</v>
      </c>
      <c r="D113" s="8">
        <v>0</v>
      </c>
      <c r="E113" s="8">
        <v>0</v>
      </c>
      <c r="F113" s="8">
        <v>0</v>
      </c>
      <c r="G113" s="8">
        <v>0</v>
      </c>
      <c r="H113" s="8">
        <v>0</v>
      </c>
      <c r="I113" s="8">
        <v>0</v>
      </c>
      <c r="J113" s="8">
        <v>0</v>
      </c>
      <c r="K113" s="8">
        <v>0</v>
      </c>
      <c r="L113" s="8">
        <v>0</v>
      </c>
      <c r="M113" s="8">
        <v>0</v>
      </c>
      <c r="N113" s="8">
        <v>0</v>
      </c>
      <c r="O113" s="8">
        <v>0</v>
      </c>
      <c r="P113" s="8">
        <v>0</v>
      </c>
      <c r="Q113" s="8">
        <v>0</v>
      </c>
      <c r="R113" s="8">
        <v>0</v>
      </c>
      <c r="S113" s="8">
        <v>0</v>
      </c>
      <c r="T113" s="8">
        <v>0</v>
      </c>
      <c r="U113" s="8">
        <v>0</v>
      </c>
      <c r="V113" s="8">
        <v>0</v>
      </c>
      <c r="W113" s="8">
        <v>0</v>
      </c>
      <c r="X113" s="8">
        <v>0</v>
      </c>
      <c r="Y113" s="8">
        <v>0</v>
      </c>
      <c r="Z113" s="8">
        <v>0</v>
      </c>
      <c r="AA113" s="8">
        <v>0</v>
      </c>
      <c r="AB113" s="8">
        <v>0</v>
      </c>
      <c r="AC113" s="8">
        <v>0</v>
      </c>
      <c r="AJ113" s="8" t="e">
        <v>#N/A</v>
      </c>
      <c r="AK113" s="8" t="e">
        <v>#N/A</v>
      </c>
      <c r="AL113" s="8" t="e">
        <v>#N/A</v>
      </c>
      <c r="AM113" s="8" t="e">
        <v>#N/A</v>
      </c>
      <c r="AN113" s="8" t="e">
        <v>#N/A</v>
      </c>
      <c r="AO113" s="8" t="e">
        <v>#N/A</v>
      </c>
    </row>
    <row r="114" spans="1:41">
      <c r="A114" s="7">
        <v>43150</v>
      </c>
      <c r="B114" s="8" t="s">
        <v>64</v>
      </c>
      <c r="C114" s="8">
        <v>4080</v>
      </c>
      <c r="D114" s="8">
        <v>2550</v>
      </c>
      <c r="E114" s="8">
        <v>1564</v>
      </c>
      <c r="F114" s="8">
        <v>321</v>
      </c>
      <c r="G114" s="8">
        <v>336</v>
      </c>
      <c r="H114" s="8">
        <v>469</v>
      </c>
      <c r="I114" s="8">
        <v>260</v>
      </c>
      <c r="J114" s="8">
        <v>208</v>
      </c>
      <c r="K114" s="8">
        <v>200</v>
      </c>
      <c r="L114" s="8">
        <v>153</v>
      </c>
      <c r="M114" s="8">
        <v>150</v>
      </c>
      <c r="N114" s="8">
        <v>153</v>
      </c>
      <c r="O114" s="8">
        <v>252</v>
      </c>
      <c r="P114" s="8">
        <v>325</v>
      </c>
      <c r="Q114" s="8">
        <v>243</v>
      </c>
      <c r="R114" s="8">
        <v>72</v>
      </c>
      <c r="S114" s="8">
        <v>122</v>
      </c>
      <c r="T114" s="8">
        <v>318</v>
      </c>
      <c r="U114" s="8">
        <v>254</v>
      </c>
      <c r="V114" s="8">
        <v>429</v>
      </c>
      <c r="W114" s="8">
        <v>472</v>
      </c>
      <c r="X114" s="8">
        <v>718</v>
      </c>
      <c r="Y114" s="8">
        <v>387</v>
      </c>
      <c r="Z114" s="8">
        <v>860</v>
      </c>
      <c r="AA114" s="8">
        <v>237</v>
      </c>
      <c r="AB114" s="8">
        <v>205</v>
      </c>
      <c r="AC114" s="8">
        <v>250</v>
      </c>
      <c r="AJ114" s="8">
        <v>0</v>
      </c>
      <c r="AK114" s="8">
        <v>0</v>
      </c>
      <c r="AL114" s="8">
        <v>0</v>
      </c>
      <c r="AM114" s="8">
        <v>0</v>
      </c>
      <c r="AN114" s="8">
        <v>0</v>
      </c>
      <c r="AO114" s="8">
        <v>0</v>
      </c>
    </row>
    <row r="115" spans="1:41">
      <c r="A115" s="7">
        <v>43150</v>
      </c>
      <c r="B115" s="8" t="s">
        <v>65</v>
      </c>
      <c r="C115" s="8">
        <v>2856</v>
      </c>
      <c r="D115" s="8">
        <v>4624</v>
      </c>
      <c r="E115" s="8">
        <v>3570</v>
      </c>
      <c r="F115" s="8">
        <v>0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0</v>
      </c>
      <c r="N115" s="8">
        <v>0</v>
      </c>
      <c r="O115" s="8">
        <v>0</v>
      </c>
      <c r="P115" s="8">
        <v>0</v>
      </c>
      <c r="Q115" s="8">
        <v>0</v>
      </c>
      <c r="R115" s="8">
        <v>0</v>
      </c>
      <c r="S115" s="8">
        <v>0</v>
      </c>
      <c r="T115" s="8">
        <v>0</v>
      </c>
      <c r="U115" s="8">
        <v>0</v>
      </c>
      <c r="V115" s="8">
        <v>0</v>
      </c>
      <c r="W115" s="8">
        <v>0</v>
      </c>
      <c r="X115" s="8">
        <v>0</v>
      </c>
      <c r="Y115" s="8">
        <v>0</v>
      </c>
      <c r="Z115" s="8">
        <v>0</v>
      </c>
      <c r="AA115" s="8">
        <v>0</v>
      </c>
      <c r="AB115" s="8">
        <v>0</v>
      </c>
      <c r="AC115" s="8">
        <v>0</v>
      </c>
    </row>
    <row r="116" spans="1:41">
      <c r="A116" s="7">
        <v>43150</v>
      </c>
      <c r="B116" s="8" t="s">
        <v>66</v>
      </c>
      <c r="C116" s="8">
        <v>5</v>
      </c>
      <c r="D116" s="8">
        <v>5</v>
      </c>
      <c r="E116" s="8">
        <v>5</v>
      </c>
      <c r="F116" s="8">
        <v>136</v>
      </c>
      <c r="G116" s="8">
        <v>102</v>
      </c>
      <c r="H116" s="8">
        <v>135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0</v>
      </c>
      <c r="O116" s="8">
        <v>0</v>
      </c>
      <c r="P116" s="8">
        <v>0</v>
      </c>
      <c r="Q116" s="8">
        <v>0</v>
      </c>
      <c r="R116" s="8">
        <v>297</v>
      </c>
      <c r="S116" s="8">
        <v>165</v>
      </c>
      <c r="T116" s="8">
        <v>165</v>
      </c>
      <c r="U116" s="8">
        <v>0</v>
      </c>
      <c r="V116" s="8">
        <v>0</v>
      </c>
      <c r="W116" s="8">
        <v>0</v>
      </c>
      <c r="X116" s="8">
        <v>0</v>
      </c>
      <c r="Y116" s="8">
        <v>0</v>
      </c>
      <c r="Z116" s="8">
        <v>0</v>
      </c>
      <c r="AA116" s="8">
        <v>0</v>
      </c>
      <c r="AB116" s="8">
        <v>0</v>
      </c>
      <c r="AC116" s="8">
        <v>0</v>
      </c>
      <c r="AJ116" s="8" t="e">
        <v>#N/A</v>
      </c>
      <c r="AK116" s="8" t="e">
        <v>#N/A</v>
      </c>
      <c r="AL116" s="8" t="e">
        <v>#N/A</v>
      </c>
      <c r="AM116" s="8" t="e">
        <v>#N/A</v>
      </c>
      <c r="AN116" s="8" t="e">
        <v>#N/A</v>
      </c>
      <c r="AO116" s="8" t="e">
        <v>#N/A</v>
      </c>
    </row>
    <row r="117" spans="1:41">
      <c r="A117" s="7">
        <v>43157</v>
      </c>
      <c r="B117" s="8" t="s">
        <v>64</v>
      </c>
      <c r="C117" s="8">
        <v>5372</v>
      </c>
      <c r="D117" s="8">
        <v>3332</v>
      </c>
      <c r="E117" s="8">
        <v>1462</v>
      </c>
      <c r="F117" s="8">
        <v>298</v>
      </c>
      <c r="G117" s="8">
        <v>306</v>
      </c>
      <c r="H117" s="8">
        <v>386</v>
      </c>
      <c r="I117" s="8">
        <v>260</v>
      </c>
      <c r="J117" s="8">
        <v>208</v>
      </c>
      <c r="K117" s="8">
        <v>200</v>
      </c>
      <c r="L117" s="8">
        <v>153</v>
      </c>
      <c r="M117" s="8">
        <v>150</v>
      </c>
      <c r="N117" s="8">
        <v>143</v>
      </c>
      <c r="O117" s="8">
        <v>210</v>
      </c>
      <c r="P117" s="8">
        <v>228</v>
      </c>
      <c r="Q117" s="8">
        <v>310</v>
      </c>
      <c r="R117" s="8">
        <v>79</v>
      </c>
      <c r="S117" s="8">
        <v>107</v>
      </c>
      <c r="T117" s="8">
        <v>299</v>
      </c>
      <c r="U117" s="8">
        <v>251</v>
      </c>
      <c r="V117" s="8">
        <v>426</v>
      </c>
      <c r="W117" s="8">
        <v>458</v>
      </c>
      <c r="X117" s="8">
        <v>672</v>
      </c>
      <c r="Y117" s="8">
        <v>387</v>
      </c>
      <c r="Z117" s="8">
        <v>857</v>
      </c>
      <c r="AA117" s="8">
        <v>236</v>
      </c>
      <c r="AB117" s="8">
        <v>204</v>
      </c>
      <c r="AC117" s="8">
        <v>249</v>
      </c>
      <c r="AJ117" s="8">
        <v>0</v>
      </c>
      <c r="AK117" s="8">
        <v>0</v>
      </c>
      <c r="AL117" s="8">
        <v>0</v>
      </c>
      <c r="AM117" s="8">
        <v>0</v>
      </c>
      <c r="AN117" s="8">
        <v>0</v>
      </c>
      <c r="AO117" s="8">
        <v>0</v>
      </c>
    </row>
    <row r="118" spans="1:41">
      <c r="A118" s="7">
        <v>43157</v>
      </c>
      <c r="B118" s="8" t="s">
        <v>65</v>
      </c>
      <c r="C118" s="8">
        <v>2380</v>
      </c>
      <c r="D118" s="8">
        <v>4046</v>
      </c>
      <c r="E118" s="8">
        <v>7140</v>
      </c>
      <c r="F118" s="8">
        <v>136</v>
      </c>
      <c r="G118" s="8">
        <v>120</v>
      </c>
      <c r="H118" s="8">
        <v>136</v>
      </c>
      <c r="I118" s="8">
        <v>0</v>
      </c>
      <c r="J118" s="8">
        <v>0</v>
      </c>
      <c r="K118" s="8">
        <v>0</v>
      </c>
      <c r="L118" s="8">
        <v>0</v>
      </c>
      <c r="M118" s="8">
        <v>0</v>
      </c>
      <c r="N118" s="8">
        <v>0</v>
      </c>
      <c r="O118" s="8">
        <v>0</v>
      </c>
      <c r="P118" s="8">
        <v>0</v>
      </c>
      <c r="Q118" s="8">
        <v>0</v>
      </c>
      <c r="R118" s="8">
        <v>264</v>
      </c>
      <c r="S118" s="8">
        <v>176</v>
      </c>
      <c r="T118" s="8">
        <v>176</v>
      </c>
      <c r="U118" s="8">
        <v>0</v>
      </c>
      <c r="V118" s="8">
        <v>0</v>
      </c>
      <c r="W118" s="8">
        <v>0</v>
      </c>
      <c r="X118" s="8">
        <v>0</v>
      </c>
      <c r="Y118" s="8">
        <v>0</v>
      </c>
      <c r="Z118" s="8">
        <v>0</v>
      </c>
      <c r="AA118" s="8">
        <v>0</v>
      </c>
      <c r="AB118" s="8">
        <v>0</v>
      </c>
      <c r="AC118" s="8">
        <v>0</v>
      </c>
    </row>
    <row r="119" spans="1:41">
      <c r="A119" s="7">
        <v>43157</v>
      </c>
      <c r="B119" s="8" t="s">
        <v>66</v>
      </c>
      <c r="C119" s="8">
        <v>3</v>
      </c>
      <c r="D119" s="8">
        <v>3</v>
      </c>
      <c r="E119" s="8">
        <v>3</v>
      </c>
      <c r="F119" s="8">
        <v>0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>
        <v>135</v>
      </c>
      <c r="P119" s="8">
        <v>225</v>
      </c>
      <c r="Q119" s="8">
        <v>135</v>
      </c>
      <c r="R119" s="8">
        <v>0</v>
      </c>
      <c r="S119" s="8">
        <v>0</v>
      </c>
      <c r="T119" s="8">
        <v>0</v>
      </c>
      <c r="U119" s="8">
        <v>0</v>
      </c>
      <c r="V119" s="8">
        <v>0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8">
        <v>0</v>
      </c>
      <c r="AC119" s="8">
        <v>0</v>
      </c>
      <c r="AJ119" s="8" t="e">
        <v>#N/A</v>
      </c>
      <c r="AK119" s="8" t="e">
        <v>#N/A</v>
      </c>
      <c r="AL119" s="8" t="e">
        <v>#N/A</v>
      </c>
      <c r="AM119" s="8" t="e">
        <v>#N/A</v>
      </c>
      <c r="AN119" s="8" t="e">
        <v>#N/A</v>
      </c>
      <c r="AO119" s="8" t="e">
        <v>#N/A</v>
      </c>
    </row>
    <row r="120" spans="1:41">
      <c r="A120" s="7">
        <v>43164</v>
      </c>
      <c r="B120" s="8" t="s">
        <v>64</v>
      </c>
      <c r="C120" s="8">
        <v>5474</v>
      </c>
      <c r="D120" s="8">
        <v>5675</v>
      </c>
      <c r="E120" s="8">
        <v>4964</v>
      </c>
      <c r="F120" s="8">
        <v>384</v>
      </c>
      <c r="G120" s="8">
        <v>365</v>
      </c>
      <c r="H120" s="8">
        <v>423</v>
      </c>
      <c r="I120" s="8">
        <v>260</v>
      </c>
      <c r="J120" s="8">
        <v>205</v>
      </c>
      <c r="K120" s="8">
        <v>196</v>
      </c>
      <c r="L120" s="8">
        <v>153</v>
      </c>
      <c r="M120" s="8">
        <v>150</v>
      </c>
      <c r="N120" s="8">
        <v>149</v>
      </c>
      <c r="O120" s="8">
        <v>141</v>
      </c>
      <c r="P120" s="8">
        <v>168</v>
      </c>
      <c r="Q120" s="8">
        <v>223</v>
      </c>
      <c r="R120" s="8">
        <v>19</v>
      </c>
      <c r="S120" s="8">
        <v>94</v>
      </c>
      <c r="T120" s="8">
        <v>273</v>
      </c>
      <c r="U120" s="8">
        <v>242</v>
      </c>
      <c r="V120" s="8">
        <v>424</v>
      </c>
      <c r="W120" s="8">
        <v>451</v>
      </c>
      <c r="X120" s="8">
        <v>658</v>
      </c>
      <c r="Y120" s="8">
        <v>373</v>
      </c>
      <c r="Z120" s="8">
        <v>835</v>
      </c>
      <c r="AA120" s="8">
        <v>233</v>
      </c>
      <c r="AB120" s="8">
        <v>200</v>
      </c>
      <c r="AC120" s="8">
        <v>249</v>
      </c>
      <c r="AJ120" s="8">
        <v>0</v>
      </c>
      <c r="AK120" s="8">
        <v>0</v>
      </c>
      <c r="AL120" s="8">
        <v>0</v>
      </c>
      <c r="AM120" s="8">
        <v>0</v>
      </c>
      <c r="AN120" s="8">
        <v>0</v>
      </c>
      <c r="AO120" s="8">
        <v>0</v>
      </c>
    </row>
    <row r="121" spans="1:41">
      <c r="A121" s="7">
        <v>43164</v>
      </c>
      <c r="B121" s="8" t="s">
        <v>65</v>
      </c>
      <c r="C121" s="8">
        <v>0</v>
      </c>
      <c r="D121" s="8">
        <v>0</v>
      </c>
      <c r="E121" s="8">
        <v>0</v>
      </c>
      <c r="F121" s="8">
        <v>0</v>
      </c>
      <c r="G121" s="8">
        <v>0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>
        <v>180</v>
      </c>
      <c r="P121" s="8">
        <v>225</v>
      </c>
      <c r="Q121" s="8">
        <v>135</v>
      </c>
      <c r="R121" s="8">
        <v>264</v>
      </c>
      <c r="S121" s="8">
        <v>176</v>
      </c>
      <c r="T121" s="8">
        <v>176</v>
      </c>
      <c r="U121" s="8">
        <v>0</v>
      </c>
      <c r="V121" s="8">
        <v>0</v>
      </c>
      <c r="W121" s="8">
        <v>0</v>
      </c>
      <c r="X121" s="8">
        <v>0</v>
      </c>
      <c r="Y121" s="8">
        <v>0</v>
      </c>
      <c r="Z121" s="8">
        <v>0</v>
      </c>
      <c r="AA121" s="8">
        <v>0</v>
      </c>
      <c r="AB121" s="8">
        <v>0</v>
      </c>
      <c r="AC121" s="8">
        <v>0</v>
      </c>
    </row>
    <row r="122" spans="1:41">
      <c r="A122" s="7">
        <v>43164</v>
      </c>
      <c r="B122" s="8" t="s">
        <v>66</v>
      </c>
      <c r="C122" s="8">
        <v>0</v>
      </c>
      <c r="D122" s="8">
        <v>0</v>
      </c>
      <c r="E122" s="8">
        <v>0</v>
      </c>
      <c r="F122" s="8">
        <v>0</v>
      </c>
      <c r="G122" s="8">
        <v>0</v>
      </c>
      <c r="H122" s="8">
        <v>0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0</v>
      </c>
      <c r="O122" s="8">
        <v>0</v>
      </c>
      <c r="P122" s="8">
        <v>0</v>
      </c>
      <c r="Q122" s="8">
        <v>0</v>
      </c>
      <c r="R122" s="8">
        <v>0</v>
      </c>
      <c r="S122" s="8">
        <v>0</v>
      </c>
      <c r="T122" s="8"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8">
        <v>0</v>
      </c>
      <c r="AA122" s="8">
        <v>0</v>
      </c>
      <c r="AB122" s="8">
        <v>0</v>
      </c>
      <c r="AC122" s="8">
        <v>0</v>
      </c>
      <c r="AJ122" s="8" t="e">
        <v>#N/A</v>
      </c>
      <c r="AK122" s="8" t="e">
        <v>#N/A</v>
      </c>
      <c r="AL122" s="8" t="e">
        <v>#N/A</v>
      </c>
      <c r="AM122" s="8" t="e">
        <v>#N/A</v>
      </c>
      <c r="AN122" s="8" t="e">
        <v>#N/A</v>
      </c>
      <c r="AO122" s="8" t="e">
        <v>#N/A</v>
      </c>
    </row>
    <row r="123" spans="1:41">
      <c r="A123" s="7">
        <v>43171</v>
      </c>
      <c r="B123" s="8" t="s">
        <v>64</v>
      </c>
      <c r="C123" s="8">
        <v>5236</v>
      </c>
      <c r="D123" s="8">
        <v>4896</v>
      </c>
      <c r="E123" s="8">
        <v>4488</v>
      </c>
      <c r="F123" s="8">
        <v>294</v>
      </c>
      <c r="G123" s="8">
        <v>332</v>
      </c>
      <c r="H123" s="8">
        <v>514</v>
      </c>
      <c r="I123" s="8">
        <v>260</v>
      </c>
      <c r="J123" s="8">
        <v>205</v>
      </c>
      <c r="K123" s="8">
        <v>196</v>
      </c>
      <c r="L123" s="8">
        <v>153</v>
      </c>
      <c r="M123" s="8">
        <v>150</v>
      </c>
      <c r="N123" s="8">
        <v>149</v>
      </c>
      <c r="O123" s="8">
        <v>245</v>
      </c>
      <c r="P123" s="8">
        <v>310</v>
      </c>
      <c r="Q123" s="8">
        <v>265</v>
      </c>
      <c r="R123" s="8">
        <v>260</v>
      </c>
      <c r="S123" s="8">
        <v>254</v>
      </c>
      <c r="T123" s="8">
        <v>429</v>
      </c>
      <c r="U123" s="8">
        <v>183</v>
      </c>
      <c r="V123" s="8">
        <v>422</v>
      </c>
      <c r="W123" s="8">
        <v>447</v>
      </c>
      <c r="X123" s="8">
        <v>658</v>
      </c>
      <c r="Y123" s="8">
        <v>371</v>
      </c>
      <c r="Z123" s="8">
        <v>835</v>
      </c>
      <c r="AA123" s="8">
        <v>236</v>
      </c>
      <c r="AB123" s="8">
        <v>200</v>
      </c>
      <c r="AC123" s="8">
        <v>245</v>
      </c>
      <c r="AJ123" s="8">
        <v>0</v>
      </c>
      <c r="AK123" s="8">
        <v>0</v>
      </c>
      <c r="AL123" s="8">
        <v>0</v>
      </c>
      <c r="AM123" s="8">
        <v>0</v>
      </c>
      <c r="AN123" s="8">
        <v>0</v>
      </c>
      <c r="AO123" s="8">
        <v>0</v>
      </c>
    </row>
    <row r="124" spans="1:41">
      <c r="A124" s="7">
        <v>43171</v>
      </c>
      <c r="B124" s="8" t="s">
        <v>65</v>
      </c>
      <c r="C124" s="8">
        <v>0</v>
      </c>
      <c r="D124" s="8">
        <v>0</v>
      </c>
      <c r="E124" s="8">
        <v>0</v>
      </c>
      <c r="F124" s="8">
        <v>0</v>
      </c>
      <c r="G124" s="8">
        <v>0</v>
      </c>
      <c r="H124" s="8">
        <v>0</v>
      </c>
      <c r="I124" s="8">
        <v>0</v>
      </c>
      <c r="J124" s="8">
        <v>0</v>
      </c>
      <c r="K124" s="8">
        <v>0</v>
      </c>
      <c r="L124" s="8">
        <v>0</v>
      </c>
      <c r="M124" s="8">
        <v>0</v>
      </c>
      <c r="N124" s="8">
        <v>0</v>
      </c>
      <c r="O124" s="8">
        <v>0</v>
      </c>
      <c r="P124" s="8">
        <v>0</v>
      </c>
      <c r="Q124" s="8">
        <v>0</v>
      </c>
      <c r="R124" s="8">
        <v>0</v>
      </c>
      <c r="S124" s="8">
        <v>0</v>
      </c>
      <c r="T124" s="8">
        <v>0</v>
      </c>
      <c r="U124" s="8">
        <v>0</v>
      </c>
      <c r="V124" s="8">
        <v>0</v>
      </c>
      <c r="W124" s="8">
        <v>0</v>
      </c>
      <c r="X124" s="8">
        <v>0</v>
      </c>
      <c r="Y124" s="8">
        <v>0</v>
      </c>
      <c r="Z124" s="8">
        <v>0</v>
      </c>
      <c r="AA124" s="8">
        <v>0</v>
      </c>
      <c r="AB124" s="8">
        <v>0</v>
      </c>
      <c r="AC124" s="8">
        <v>0</v>
      </c>
    </row>
    <row r="125" spans="1:41">
      <c r="A125" s="7">
        <v>43171</v>
      </c>
      <c r="B125" s="8" t="s">
        <v>66</v>
      </c>
      <c r="C125" s="8">
        <v>0</v>
      </c>
      <c r="D125" s="8">
        <v>0</v>
      </c>
      <c r="E125" s="8">
        <v>0</v>
      </c>
      <c r="F125" s="8">
        <v>0</v>
      </c>
      <c r="G125" s="8">
        <v>0</v>
      </c>
      <c r="H125" s="8">
        <v>0</v>
      </c>
      <c r="I125" s="8">
        <v>0</v>
      </c>
      <c r="J125" s="8">
        <v>0</v>
      </c>
      <c r="K125" s="8">
        <v>0</v>
      </c>
      <c r="L125" s="8">
        <v>0</v>
      </c>
      <c r="M125" s="8">
        <v>0</v>
      </c>
      <c r="N125" s="8">
        <v>0</v>
      </c>
      <c r="O125" s="8">
        <v>0</v>
      </c>
      <c r="P125" s="8">
        <v>0</v>
      </c>
      <c r="Q125" s="8">
        <v>0</v>
      </c>
      <c r="R125" s="8">
        <v>0</v>
      </c>
      <c r="S125" s="8">
        <v>0</v>
      </c>
      <c r="T125" s="8">
        <v>0</v>
      </c>
      <c r="U125" s="8">
        <v>0</v>
      </c>
      <c r="V125" s="8">
        <v>0</v>
      </c>
      <c r="W125" s="8">
        <v>0</v>
      </c>
      <c r="X125" s="8">
        <v>0</v>
      </c>
      <c r="Y125" s="8">
        <v>0</v>
      </c>
      <c r="Z125" s="8">
        <v>0</v>
      </c>
      <c r="AA125" s="8">
        <v>0</v>
      </c>
      <c r="AB125" s="8">
        <v>0</v>
      </c>
      <c r="AC125" s="8">
        <v>0</v>
      </c>
      <c r="AJ125" s="8" t="e">
        <v>#N/A</v>
      </c>
      <c r="AK125" s="8" t="e">
        <v>#N/A</v>
      </c>
      <c r="AL125" s="8" t="e">
        <v>#N/A</v>
      </c>
      <c r="AM125" s="8" t="e">
        <v>#N/A</v>
      </c>
      <c r="AN125" s="8" t="e">
        <v>#N/A</v>
      </c>
      <c r="AO125" s="8" t="e">
        <v>#N/A</v>
      </c>
    </row>
    <row r="126" spans="1:41">
      <c r="A126" s="7">
        <v>43178</v>
      </c>
      <c r="B126" s="8" t="s">
        <v>64</v>
      </c>
      <c r="C126" s="8">
        <v>5712</v>
      </c>
      <c r="D126" s="8">
        <v>4216</v>
      </c>
      <c r="E126" s="8">
        <v>3434</v>
      </c>
      <c r="F126" s="8">
        <v>175</v>
      </c>
      <c r="G126" s="8">
        <v>286</v>
      </c>
      <c r="H126" s="8">
        <v>254</v>
      </c>
      <c r="I126" s="8">
        <v>260</v>
      </c>
      <c r="J126" s="8">
        <v>205</v>
      </c>
      <c r="K126" s="8">
        <v>195</v>
      </c>
      <c r="L126" s="8">
        <v>153</v>
      </c>
      <c r="M126" s="8">
        <v>150</v>
      </c>
      <c r="N126" s="8">
        <v>149</v>
      </c>
      <c r="O126" s="8">
        <v>105</v>
      </c>
      <c r="P126" s="8">
        <v>240</v>
      </c>
      <c r="Q126" s="8">
        <v>128</v>
      </c>
      <c r="R126" s="8">
        <v>238</v>
      </c>
      <c r="S126" s="8">
        <v>245</v>
      </c>
      <c r="T126" s="8">
        <v>402</v>
      </c>
      <c r="U126" s="8">
        <v>232</v>
      </c>
      <c r="V126" s="8">
        <v>421</v>
      </c>
      <c r="W126" s="8">
        <v>441</v>
      </c>
      <c r="X126" s="8">
        <v>624</v>
      </c>
      <c r="Y126" s="8">
        <v>247</v>
      </c>
      <c r="Z126" s="8">
        <v>835</v>
      </c>
      <c r="AA126" s="8">
        <v>236</v>
      </c>
      <c r="AB126" s="8">
        <v>177</v>
      </c>
      <c r="AC126" s="8">
        <v>226</v>
      </c>
      <c r="AJ126" s="8">
        <v>0</v>
      </c>
      <c r="AK126" s="8">
        <v>0</v>
      </c>
      <c r="AL126" s="8">
        <v>0</v>
      </c>
      <c r="AM126" s="8">
        <v>0</v>
      </c>
      <c r="AN126" s="8">
        <v>0</v>
      </c>
      <c r="AO126" s="8">
        <v>0</v>
      </c>
    </row>
    <row r="127" spans="1:41">
      <c r="A127" s="7">
        <v>43178</v>
      </c>
      <c r="B127" s="8" t="s">
        <v>65</v>
      </c>
      <c r="C127" s="8">
        <v>1904</v>
      </c>
      <c r="D127" s="8">
        <v>7514</v>
      </c>
      <c r="E127" s="8">
        <v>11424</v>
      </c>
      <c r="F127" s="8">
        <v>0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0</v>
      </c>
      <c r="N127" s="8">
        <v>0</v>
      </c>
      <c r="O127" s="8">
        <v>0</v>
      </c>
      <c r="P127" s="8">
        <v>0</v>
      </c>
      <c r="Q127" s="8">
        <v>0</v>
      </c>
      <c r="R127" s="8">
        <v>0</v>
      </c>
      <c r="S127" s="8">
        <v>0</v>
      </c>
      <c r="T127" s="8">
        <v>0</v>
      </c>
      <c r="U127" s="8">
        <v>0</v>
      </c>
      <c r="V127" s="8">
        <v>0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8">
        <v>0</v>
      </c>
      <c r="AC127" s="8">
        <v>0</v>
      </c>
    </row>
    <row r="128" spans="1:41">
      <c r="A128" s="7">
        <v>43178</v>
      </c>
      <c r="B128" s="8" t="s">
        <v>66</v>
      </c>
      <c r="C128" s="8">
        <v>0</v>
      </c>
      <c r="D128" s="8">
        <v>0</v>
      </c>
      <c r="E128" s="8">
        <v>0</v>
      </c>
      <c r="F128" s="8">
        <v>204</v>
      </c>
      <c r="G128" s="8">
        <v>102</v>
      </c>
      <c r="H128" s="8">
        <v>340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>
        <v>180</v>
      </c>
      <c r="P128" s="8">
        <v>180</v>
      </c>
      <c r="Q128" s="8">
        <v>270</v>
      </c>
      <c r="R128" s="8">
        <v>0</v>
      </c>
      <c r="S128" s="8">
        <v>0</v>
      </c>
      <c r="T128" s="8"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8">
        <v>0</v>
      </c>
      <c r="AC128" s="8">
        <v>0</v>
      </c>
      <c r="AJ128" s="8" t="e">
        <v>#N/A</v>
      </c>
      <c r="AK128" s="8" t="e">
        <v>#N/A</v>
      </c>
      <c r="AL128" s="8" t="e">
        <v>#N/A</v>
      </c>
      <c r="AM128" s="8" t="e">
        <v>#N/A</v>
      </c>
      <c r="AN128" s="8" t="e">
        <v>#N/A</v>
      </c>
      <c r="AO128" s="8" t="e">
        <v>#N/A</v>
      </c>
    </row>
    <row r="129" spans="1:41">
      <c r="A129" s="7">
        <v>43182</v>
      </c>
      <c r="B129" s="8" t="s">
        <v>64</v>
      </c>
      <c r="C129" s="8">
        <v>5712</v>
      </c>
      <c r="D129" s="8">
        <v>4216</v>
      </c>
      <c r="E129" s="8">
        <v>3434</v>
      </c>
      <c r="F129" s="8">
        <v>175</v>
      </c>
      <c r="G129" s="8">
        <v>286</v>
      </c>
      <c r="H129" s="8">
        <v>254</v>
      </c>
      <c r="I129" s="8">
        <v>260</v>
      </c>
      <c r="J129" s="8">
        <v>205</v>
      </c>
      <c r="K129" s="8">
        <v>195</v>
      </c>
      <c r="L129" s="8">
        <v>153</v>
      </c>
      <c r="M129" s="8">
        <v>150</v>
      </c>
      <c r="N129" s="8">
        <v>149</v>
      </c>
      <c r="O129" s="8">
        <v>105</v>
      </c>
      <c r="P129" s="8">
        <v>240</v>
      </c>
      <c r="Q129" s="8">
        <v>128</v>
      </c>
      <c r="R129" s="8">
        <v>238</v>
      </c>
      <c r="S129" s="8">
        <v>245</v>
      </c>
      <c r="T129" s="8">
        <v>402</v>
      </c>
      <c r="U129" s="8">
        <v>232</v>
      </c>
      <c r="V129" s="8">
        <v>421</v>
      </c>
      <c r="W129" s="8">
        <v>441</v>
      </c>
      <c r="X129" s="8">
        <v>624</v>
      </c>
      <c r="Y129" s="8">
        <v>247</v>
      </c>
      <c r="Z129" s="8">
        <v>835</v>
      </c>
      <c r="AA129" s="8">
        <v>236</v>
      </c>
      <c r="AB129" s="8">
        <v>177</v>
      </c>
      <c r="AC129" s="8">
        <v>226</v>
      </c>
      <c r="AJ129" s="8">
        <v>0</v>
      </c>
      <c r="AK129" s="8">
        <v>0</v>
      </c>
      <c r="AL129" s="8">
        <v>0</v>
      </c>
      <c r="AM129" s="8">
        <v>0</v>
      </c>
      <c r="AN129" s="8">
        <v>0</v>
      </c>
      <c r="AO129" s="8">
        <v>0</v>
      </c>
    </row>
    <row r="130" spans="1:41">
      <c r="A130" s="7">
        <v>43182</v>
      </c>
      <c r="B130" s="8" t="s">
        <v>65</v>
      </c>
      <c r="C130" s="8">
        <v>1904</v>
      </c>
      <c r="D130" s="8">
        <v>7514</v>
      </c>
      <c r="E130" s="8">
        <v>11424</v>
      </c>
      <c r="F130" s="8">
        <v>0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0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8">
        <v>0</v>
      </c>
      <c r="V130" s="8">
        <v>0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8">
        <v>0</v>
      </c>
      <c r="AC130" s="8">
        <v>0</v>
      </c>
    </row>
    <row r="131" spans="1:41">
      <c r="A131" s="7">
        <v>43182</v>
      </c>
      <c r="B131" s="8" t="s">
        <v>66</v>
      </c>
      <c r="C131" s="8">
        <v>0</v>
      </c>
      <c r="D131" s="8">
        <v>0</v>
      </c>
      <c r="E131" s="8">
        <v>0</v>
      </c>
      <c r="F131" s="8">
        <v>204</v>
      </c>
      <c r="G131" s="8">
        <v>102</v>
      </c>
      <c r="H131" s="8">
        <v>340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>
        <v>180</v>
      </c>
      <c r="P131" s="8">
        <v>180</v>
      </c>
      <c r="Q131" s="8">
        <v>270</v>
      </c>
      <c r="R131" s="8">
        <v>0</v>
      </c>
      <c r="S131" s="8">
        <v>0</v>
      </c>
      <c r="T131" s="8">
        <v>0</v>
      </c>
      <c r="U131" s="8">
        <v>0</v>
      </c>
      <c r="V131" s="8">
        <v>0</v>
      </c>
      <c r="W131" s="8">
        <v>0</v>
      </c>
      <c r="X131" s="8">
        <v>160</v>
      </c>
      <c r="Y131" s="8">
        <v>280</v>
      </c>
      <c r="Z131" s="8">
        <v>40</v>
      </c>
      <c r="AA131" s="8">
        <v>40</v>
      </c>
      <c r="AB131" s="8">
        <v>80</v>
      </c>
      <c r="AC131" s="8">
        <v>40</v>
      </c>
      <c r="AJ131" s="8" t="e">
        <v>#N/A</v>
      </c>
      <c r="AK131" s="8" t="e">
        <v>#N/A</v>
      </c>
      <c r="AL131" s="8" t="e">
        <v>#N/A</v>
      </c>
      <c r="AM131" s="8" t="e">
        <v>#N/A</v>
      </c>
      <c r="AN131" s="8" t="e">
        <v>#N/A</v>
      </c>
      <c r="AO131" s="8" t="e">
        <v>#N/A</v>
      </c>
    </row>
    <row r="132" spans="1:41">
      <c r="A132" s="7">
        <v>43185</v>
      </c>
      <c r="B132" s="8" t="s">
        <v>64</v>
      </c>
      <c r="C132" s="8">
        <v>5134</v>
      </c>
      <c r="D132" s="8">
        <v>3672</v>
      </c>
      <c r="E132" s="8">
        <v>2482</v>
      </c>
      <c r="F132" s="8">
        <v>140</v>
      </c>
      <c r="G132" s="8">
        <v>218</v>
      </c>
      <c r="H132" s="8">
        <v>176</v>
      </c>
      <c r="I132" s="8">
        <v>260</v>
      </c>
      <c r="J132" s="8">
        <v>205</v>
      </c>
      <c r="K132" s="8">
        <v>195</v>
      </c>
      <c r="L132" s="8">
        <v>153</v>
      </c>
      <c r="M132" s="8">
        <v>150</v>
      </c>
      <c r="N132" s="8">
        <v>148</v>
      </c>
      <c r="O132" s="8">
        <v>90</v>
      </c>
      <c r="P132" s="8">
        <v>90</v>
      </c>
      <c r="Q132" s="8">
        <v>0</v>
      </c>
      <c r="R132" s="8">
        <v>228</v>
      </c>
      <c r="S132" s="8">
        <v>231</v>
      </c>
      <c r="T132" s="8">
        <v>283</v>
      </c>
      <c r="U132" s="8">
        <v>232</v>
      </c>
      <c r="V132" s="8">
        <v>407</v>
      </c>
      <c r="W132" s="8">
        <v>432</v>
      </c>
      <c r="X132" s="8">
        <v>677</v>
      </c>
      <c r="Y132" s="8">
        <v>277</v>
      </c>
      <c r="Z132" s="8">
        <v>772</v>
      </c>
      <c r="AA132" s="8">
        <v>236</v>
      </c>
      <c r="AB132" s="8">
        <v>177</v>
      </c>
      <c r="AC132" s="8">
        <v>225</v>
      </c>
      <c r="AJ132" s="8">
        <v>0</v>
      </c>
      <c r="AK132" s="8">
        <v>0</v>
      </c>
      <c r="AL132" s="8">
        <v>0</v>
      </c>
      <c r="AM132" s="8">
        <v>0</v>
      </c>
      <c r="AN132" s="8">
        <v>0</v>
      </c>
      <c r="AO132" s="8">
        <v>0</v>
      </c>
    </row>
    <row r="133" spans="1:41">
      <c r="A133" s="7">
        <v>43185</v>
      </c>
      <c r="B133" s="8" t="s">
        <v>65</v>
      </c>
      <c r="C133" s="8">
        <v>2054</v>
      </c>
      <c r="D133" s="8">
        <v>5780</v>
      </c>
      <c r="E133" s="8">
        <v>9282</v>
      </c>
      <c r="F133" s="8">
        <v>204</v>
      </c>
      <c r="G133" s="8">
        <v>102</v>
      </c>
      <c r="H133" s="8">
        <v>640</v>
      </c>
      <c r="I133" s="8">
        <v>0</v>
      </c>
      <c r="J133" s="8">
        <v>0</v>
      </c>
      <c r="K133" s="8">
        <v>0</v>
      </c>
      <c r="L133" s="8">
        <v>0</v>
      </c>
      <c r="M133" s="8">
        <v>0</v>
      </c>
      <c r="N133" s="8">
        <v>0</v>
      </c>
      <c r="O133" s="8">
        <v>180</v>
      </c>
      <c r="P133" s="8">
        <v>180</v>
      </c>
      <c r="Q133" s="8">
        <v>225</v>
      </c>
      <c r="R133" s="8">
        <v>0</v>
      </c>
      <c r="S133" s="8">
        <v>0</v>
      </c>
      <c r="T133" s="8">
        <v>0</v>
      </c>
      <c r="U133" s="8">
        <v>0</v>
      </c>
      <c r="V133" s="8">
        <v>0</v>
      </c>
      <c r="W133" s="8">
        <v>0</v>
      </c>
      <c r="X133" s="8">
        <v>160</v>
      </c>
      <c r="Y133" s="8">
        <v>280</v>
      </c>
      <c r="Z133" s="8">
        <v>40</v>
      </c>
      <c r="AA133" s="8">
        <v>40</v>
      </c>
      <c r="AB133" s="8">
        <v>80</v>
      </c>
      <c r="AC133" s="8">
        <v>40</v>
      </c>
    </row>
    <row r="134" spans="1:41">
      <c r="A134" s="7">
        <v>43185</v>
      </c>
      <c r="B134" s="8" t="s">
        <v>66</v>
      </c>
      <c r="C134" s="8">
        <v>2</v>
      </c>
      <c r="D134" s="8">
        <v>0</v>
      </c>
      <c r="E134" s="8">
        <v>0</v>
      </c>
      <c r="F134" s="8">
        <v>34</v>
      </c>
      <c r="G134" s="8">
        <v>68</v>
      </c>
      <c r="H134" s="8">
        <v>0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>
        <v>135</v>
      </c>
      <c r="P134" s="8">
        <v>225</v>
      </c>
      <c r="Q134" s="8">
        <v>225</v>
      </c>
      <c r="R134" s="8">
        <v>0</v>
      </c>
      <c r="S134" s="8">
        <v>0</v>
      </c>
      <c r="T134" s="8">
        <v>0</v>
      </c>
      <c r="U134" s="8">
        <v>0</v>
      </c>
      <c r="V134" s="8">
        <v>0</v>
      </c>
      <c r="W134" s="8">
        <v>0</v>
      </c>
      <c r="X134" s="8">
        <v>0</v>
      </c>
      <c r="Y134" s="8">
        <v>0</v>
      </c>
      <c r="Z134" s="8">
        <v>0</v>
      </c>
      <c r="AA134" s="8">
        <v>0</v>
      </c>
      <c r="AB134" s="8">
        <v>0</v>
      </c>
      <c r="AC134" s="8">
        <v>0</v>
      </c>
      <c r="AJ134" s="8" t="e">
        <v>#N/A</v>
      </c>
      <c r="AK134" s="8" t="e">
        <v>#N/A</v>
      </c>
      <c r="AL134" s="8" t="e">
        <v>#N/A</v>
      </c>
      <c r="AM134" s="8" t="e">
        <v>#N/A</v>
      </c>
      <c r="AN134" s="8" t="e">
        <v>#N/A</v>
      </c>
      <c r="AO134" s="8" t="e">
        <v>#N/A</v>
      </c>
    </row>
    <row r="135" spans="1:41">
      <c r="A135" s="7">
        <v>43192</v>
      </c>
      <c r="B135" s="8" t="s">
        <v>64</v>
      </c>
      <c r="C135" s="8">
        <v>5358</v>
      </c>
      <c r="D135" s="8">
        <v>3407</v>
      </c>
      <c r="E135" s="8">
        <v>2112</v>
      </c>
      <c r="F135" s="8">
        <v>320</v>
      </c>
      <c r="G135" s="8">
        <v>331</v>
      </c>
      <c r="H135" s="8">
        <v>183</v>
      </c>
      <c r="I135" s="8">
        <v>259</v>
      </c>
      <c r="J135" s="8">
        <v>204</v>
      </c>
      <c r="K135" s="8">
        <v>195</v>
      </c>
      <c r="L135" s="8">
        <v>153</v>
      </c>
      <c r="M135" s="8">
        <v>150</v>
      </c>
      <c r="N135" s="8">
        <v>149</v>
      </c>
      <c r="O135" s="8">
        <v>256</v>
      </c>
      <c r="P135" s="8">
        <v>254</v>
      </c>
      <c r="Q135" s="8">
        <v>156</v>
      </c>
      <c r="R135" s="8">
        <v>220</v>
      </c>
      <c r="S135" s="8">
        <v>215</v>
      </c>
      <c r="T135" s="8">
        <v>358</v>
      </c>
      <c r="U135" s="8">
        <v>231</v>
      </c>
      <c r="V135" s="8">
        <v>390</v>
      </c>
      <c r="W135" s="8">
        <v>425</v>
      </c>
      <c r="X135" s="8">
        <v>613</v>
      </c>
      <c r="Y135" s="8">
        <v>274</v>
      </c>
      <c r="Z135" s="8">
        <v>760</v>
      </c>
      <c r="AA135" s="8">
        <v>231</v>
      </c>
      <c r="AB135" s="8">
        <v>176</v>
      </c>
      <c r="AC135" s="8">
        <v>225</v>
      </c>
      <c r="AJ135" s="8">
        <v>0</v>
      </c>
      <c r="AK135" s="8">
        <v>0</v>
      </c>
      <c r="AL135" s="8">
        <v>0</v>
      </c>
      <c r="AM135" s="8">
        <v>0</v>
      </c>
      <c r="AN135" s="8">
        <v>0</v>
      </c>
      <c r="AO135" s="8">
        <v>0</v>
      </c>
    </row>
    <row r="136" spans="1:41">
      <c r="A136" s="7">
        <v>43192</v>
      </c>
      <c r="B136" s="8" t="s">
        <v>65</v>
      </c>
      <c r="C136" s="8">
        <v>1578</v>
      </c>
      <c r="D136" s="8">
        <v>4046</v>
      </c>
      <c r="E136" s="8">
        <v>7854</v>
      </c>
      <c r="F136" s="8">
        <v>0</v>
      </c>
      <c r="G136" s="8">
        <v>0</v>
      </c>
      <c r="H136" s="8">
        <v>300</v>
      </c>
      <c r="I136" s="8">
        <v>0</v>
      </c>
      <c r="J136" s="8">
        <v>0</v>
      </c>
      <c r="K136" s="8">
        <v>0</v>
      </c>
      <c r="L136" s="8">
        <v>0</v>
      </c>
      <c r="M136" s="8">
        <v>0</v>
      </c>
      <c r="N136" s="8">
        <v>0</v>
      </c>
      <c r="O136" s="8">
        <v>135</v>
      </c>
      <c r="P136" s="8">
        <v>225</v>
      </c>
      <c r="Q136" s="8">
        <v>225</v>
      </c>
      <c r="R136" s="8">
        <v>0</v>
      </c>
      <c r="S136" s="8">
        <v>0</v>
      </c>
      <c r="T136" s="8">
        <v>0</v>
      </c>
      <c r="U136" s="8">
        <v>0</v>
      </c>
      <c r="V136" s="8">
        <v>0</v>
      </c>
      <c r="W136" s="8">
        <v>0</v>
      </c>
      <c r="X136" s="8">
        <v>160</v>
      </c>
      <c r="Y136" s="8">
        <v>280</v>
      </c>
      <c r="Z136" s="8">
        <v>40</v>
      </c>
      <c r="AA136" s="8">
        <v>40</v>
      </c>
      <c r="AB136" s="8">
        <v>80</v>
      </c>
      <c r="AC136" s="8">
        <v>40</v>
      </c>
    </row>
    <row r="137" spans="1:41">
      <c r="A137" s="7">
        <v>43192</v>
      </c>
      <c r="B137" s="8" t="s">
        <v>66</v>
      </c>
      <c r="C137" s="8">
        <v>1</v>
      </c>
      <c r="D137" s="8">
        <v>0</v>
      </c>
      <c r="E137" s="8">
        <v>0</v>
      </c>
      <c r="F137" s="8">
        <v>68</v>
      </c>
      <c r="G137" s="8">
        <v>68</v>
      </c>
      <c r="H137" s="8">
        <v>136</v>
      </c>
      <c r="I137" s="8">
        <v>0</v>
      </c>
      <c r="J137" s="8">
        <v>0</v>
      </c>
      <c r="K137" s="8">
        <v>0</v>
      </c>
      <c r="L137" s="8">
        <v>0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J137" s="8" t="e">
        <v>#N/A</v>
      </c>
      <c r="AK137" s="8" t="e">
        <v>#N/A</v>
      </c>
      <c r="AL137" s="8" t="e">
        <v>#N/A</v>
      </c>
      <c r="AM137" s="8" t="e">
        <v>#N/A</v>
      </c>
      <c r="AN137" s="8" t="e">
        <v>#N/A</v>
      </c>
      <c r="AO137" s="8" t="e">
        <v>#N/A</v>
      </c>
    </row>
    <row r="138" spans="1:41">
      <c r="A138" s="7">
        <v>43207</v>
      </c>
      <c r="B138" s="8" t="s">
        <v>64</v>
      </c>
      <c r="C138" s="8">
        <v>3808</v>
      </c>
      <c r="D138" s="8">
        <v>1326</v>
      </c>
      <c r="E138" s="8">
        <v>4318</v>
      </c>
      <c r="F138" s="8">
        <v>234</v>
      </c>
      <c r="G138" s="8">
        <v>227</v>
      </c>
      <c r="H138" s="8">
        <v>364</v>
      </c>
      <c r="I138" s="8">
        <v>255</v>
      </c>
      <c r="J138" s="8">
        <v>204</v>
      </c>
      <c r="K138" s="8">
        <v>193</v>
      </c>
      <c r="L138" s="8">
        <v>153</v>
      </c>
      <c r="M138" s="8">
        <v>150</v>
      </c>
      <c r="N138" s="8">
        <v>149</v>
      </c>
      <c r="O138" s="8">
        <v>280</v>
      </c>
      <c r="P138" s="8">
        <v>336</v>
      </c>
      <c r="Q138" s="8">
        <v>265</v>
      </c>
      <c r="R138" s="8">
        <v>186</v>
      </c>
      <c r="S138" s="8">
        <v>283</v>
      </c>
      <c r="T138" s="8">
        <v>324</v>
      </c>
      <c r="U138" s="8">
        <v>219</v>
      </c>
      <c r="V138" s="8">
        <v>384</v>
      </c>
      <c r="W138" s="8">
        <v>395</v>
      </c>
      <c r="X138" s="8">
        <v>608</v>
      </c>
      <c r="Y138" s="8">
        <v>231</v>
      </c>
      <c r="Z138" s="8">
        <v>746</v>
      </c>
      <c r="AA138" s="8">
        <v>230</v>
      </c>
      <c r="AB138" s="8">
        <v>176</v>
      </c>
      <c r="AC138" s="8">
        <v>219</v>
      </c>
      <c r="AJ138" s="8">
        <v>0</v>
      </c>
      <c r="AK138" s="8">
        <v>0</v>
      </c>
      <c r="AL138" s="8">
        <v>0</v>
      </c>
      <c r="AM138" s="8">
        <v>0</v>
      </c>
      <c r="AN138" s="8">
        <v>0</v>
      </c>
      <c r="AO138" s="8">
        <v>0</v>
      </c>
    </row>
    <row r="139" spans="1:41">
      <c r="A139" s="7">
        <v>43207</v>
      </c>
      <c r="B139" s="8" t="s">
        <v>65</v>
      </c>
      <c r="C139" s="8">
        <v>2380</v>
      </c>
      <c r="D139" s="8">
        <v>2890</v>
      </c>
      <c r="E139" s="8">
        <v>4284</v>
      </c>
      <c r="F139" s="8">
        <v>0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0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8">
        <v>0</v>
      </c>
      <c r="V139" s="8">
        <v>0</v>
      </c>
      <c r="W139" s="8">
        <v>0</v>
      </c>
      <c r="X139" s="8">
        <v>160</v>
      </c>
      <c r="Y139" s="8">
        <v>280</v>
      </c>
      <c r="Z139" s="8">
        <v>40</v>
      </c>
      <c r="AA139" s="8">
        <v>40</v>
      </c>
      <c r="AB139" s="8">
        <v>80</v>
      </c>
      <c r="AC139" s="8">
        <v>40</v>
      </c>
    </row>
    <row r="140" spans="1:41">
      <c r="A140" s="7">
        <v>43207</v>
      </c>
      <c r="B140" s="8" t="s">
        <v>66</v>
      </c>
      <c r="C140" s="8">
        <v>2</v>
      </c>
      <c r="D140" s="8">
        <v>6</v>
      </c>
      <c r="E140" s="8">
        <v>0</v>
      </c>
      <c r="F140" s="8">
        <v>136</v>
      </c>
      <c r="G140" s="8">
        <v>170</v>
      </c>
      <c r="H140" s="8">
        <v>238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8">
        <v>0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8">
        <v>0</v>
      </c>
      <c r="AC140" s="8">
        <v>0</v>
      </c>
      <c r="AJ140" s="8" t="e">
        <v>#N/A</v>
      </c>
      <c r="AK140" s="8" t="e">
        <v>#N/A</v>
      </c>
      <c r="AL140" s="8" t="e">
        <v>#N/A</v>
      </c>
      <c r="AM140" s="8" t="e">
        <v>#N/A</v>
      </c>
      <c r="AN140" s="8" t="e">
        <v>#N/A</v>
      </c>
      <c r="AO140" s="8" t="e">
        <v>#N/A</v>
      </c>
    </row>
    <row r="141" spans="1:41">
      <c r="A141" s="7">
        <v>43213</v>
      </c>
      <c r="B141" s="8" t="s">
        <v>64</v>
      </c>
      <c r="C141" s="8">
        <v>2890</v>
      </c>
      <c r="D141" s="8">
        <v>2040</v>
      </c>
      <c r="E141" s="8">
        <v>4726</v>
      </c>
      <c r="F141" s="8">
        <v>250</v>
      </c>
      <c r="G141" s="8">
        <v>282</v>
      </c>
      <c r="H141" s="8">
        <v>230</v>
      </c>
      <c r="I141" s="8">
        <v>255</v>
      </c>
      <c r="J141" s="8">
        <v>204</v>
      </c>
      <c r="K141" s="8">
        <v>195</v>
      </c>
      <c r="L141" s="8">
        <v>150</v>
      </c>
      <c r="M141" s="8">
        <v>150</v>
      </c>
      <c r="N141" s="8">
        <v>149</v>
      </c>
      <c r="O141" s="8">
        <v>225</v>
      </c>
      <c r="P141" s="8">
        <v>265</v>
      </c>
      <c r="Q141" s="8">
        <v>175</v>
      </c>
      <c r="R141" s="8">
        <v>127</v>
      </c>
      <c r="S141" s="8">
        <v>212</v>
      </c>
      <c r="T141" s="8">
        <v>285</v>
      </c>
      <c r="U141" s="8">
        <v>215</v>
      </c>
      <c r="V141" s="8">
        <v>381</v>
      </c>
      <c r="W141" s="8">
        <v>380</v>
      </c>
      <c r="X141" s="8">
        <v>560</v>
      </c>
      <c r="Y141" s="8">
        <v>222</v>
      </c>
      <c r="Z141" s="8">
        <v>726</v>
      </c>
      <c r="AA141" s="8">
        <v>230</v>
      </c>
      <c r="AB141" s="8">
        <v>165</v>
      </c>
      <c r="AC141" s="8">
        <v>217</v>
      </c>
      <c r="AJ141" s="8">
        <v>0</v>
      </c>
      <c r="AK141" s="8">
        <v>0</v>
      </c>
      <c r="AL141" s="8">
        <v>0</v>
      </c>
      <c r="AM141" s="8">
        <v>0</v>
      </c>
      <c r="AN141" s="8">
        <v>0</v>
      </c>
      <c r="AO141" s="8">
        <v>0</v>
      </c>
    </row>
    <row r="142" spans="1:41">
      <c r="A142" s="7">
        <v>43213</v>
      </c>
      <c r="B142" s="8" t="s">
        <v>65</v>
      </c>
      <c r="C142" s="8">
        <v>2856</v>
      </c>
      <c r="D142" s="8">
        <v>3468</v>
      </c>
      <c r="E142" s="8">
        <v>2142</v>
      </c>
      <c r="F142" s="8">
        <v>102</v>
      </c>
      <c r="G142" s="8">
        <v>136</v>
      </c>
      <c r="H142" s="8">
        <v>170</v>
      </c>
      <c r="I142" s="8">
        <v>0</v>
      </c>
      <c r="J142" s="8">
        <v>0</v>
      </c>
      <c r="K142" s="8">
        <v>0</v>
      </c>
      <c r="L142" s="8">
        <v>0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0</v>
      </c>
      <c r="W142" s="8">
        <v>0</v>
      </c>
      <c r="X142" s="8">
        <v>160</v>
      </c>
      <c r="Y142" s="8">
        <v>280</v>
      </c>
      <c r="Z142" s="8">
        <v>40</v>
      </c>
      <c r="AA142" s="8">
        <v>40</v>
      </c>
      <c r="AB142" s="8">
        <v>80</v>
      </c>
      <c r="AC142" s="8">
        <v>40</v>
      </c>
    </row>
    <row r="143" spans="1:41">
      <c r="A143" s="7">
        <v>43213</v>
      </c>
      <c r="B143" s="8" t="s">
        <v>66</v>
      </c>
      <c r="C143" s="8">
        <v>3</v>
      </c>
      <c r="D143" s="8">
        <v>3</v>
      </c>
      <c r="E143" s="8">
        <v>0</v>
      </c>
      <c r="F143" s="8">
        <v>0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>
        <v>135</v>
      </c>
      <c r="P143" s="8">
        <v>180</v>
      </c>
      <c r="Q143" s="8">
        <v>270</v>
      </c>
      <c r="R143" s="8">
        <v>0</v>
      </c>
      <c r="S143" s="8">
        <v>0</v>
      </c>
      <c r="T143" s="8">
        <v>0</v>
      </c>
      <c r="U143" s="8">
        <v>0</v>
      </c>
      <c r="V143" s="8">
        <v>0</v>
      </c>
      <c r="W143" s="8">
        <v>0</v>
      </c>
      <c r="X143" s="8">
        <v>0</v>
      </c>
      <c r="Y143" s="8">
        <v>0</v>
      </c>
      <c r="Z143" s="8">
        <v>0</v>
      </c>
      <c r="AA143" s="8">
        <v>0</v>
      </c>
      <c r="AB143" s="8">
        <v>0</v>
      </c>
      <c r="AC143" s="8">
        <v>0</v>
      </c>
      <c r="AJ143" s="8" t="e">
        <v>#N/A</v>
      </c>
      <c r="AK143" s="8" t="e">
        <v>#N/A</v>
      </c>
      <c r="AL143" s="8" t="e">
        <v>#N/A</v>
      </c>
      <c r="AM143" s="8" t="e">
        <v>#N/A</v>
      </c>
      <c r="AN143" s="8" t="e">
        <v>#N/A</v>
      </c>
      <c r="AO143" s="8" t="e">
        <v>#N/A</v>
      </c>
    </row>
    <row r="144" spans="1:41">
      <c r="A144" s="7">
        <v>43220</v>
      </c>
      <c r="B144" s="8" t="s">
        <v>64</v>
      </c>
      <c r="C144" s="8">
        <v>3366</v>
      </c>
      <c r="D144" s="8">
        <v>3672</v>
      </c>
      <c r="E144" s="8">
        <v>3706</v>
      </c>
      <c r="F144" s="8">
        <v>304</v>
      </c>
      <c r="G144" s="8">
        <v>326</v>
      </c>
      <c r="H144" s="8">
        <v>501</v>
      </c>
      <c r="I144" s="8">
        <v>222</v>
      </c>
      <c r="J144" s="8">
        <v>193</v>
      </c>
      <c r="K144" s="8">
        <v>173</v>
      </c>
      <c r="L144" s="8">
        <v>150</v>
      </c>
      <c r="M144" s="8">
        <v>150</v>
      </c>
      <c r="N144" s="8">
        <v>149</v>
      </c>
      <c r="O144" s="8">
        <v>180</v>
      </c>
      <c r="P144" s="8">
        <v>222</v>
      </c>
      <c r="Q144" s="8">
        <v>133</v>
      </c>
      <c r="R144" s="8">
        <v>103</v>
      </c>
      <c r="S144" s="8">
        <v>198</v>
      </c>
      <c r="T144" s="8">
        <v>270</v>
      </c>
      <c r="U144" s="8">
        <v>208</v>
      </c>
      <c r="V144" s="8">
        <v>379</v>
      </c>
      <c r="W144" s="8">
        <v>375</v>
      </c>
      <c r="X144" s="8">
        <v>543</v>
      </c>
      <c r="Y144" s="8">
        <v>207</v>
      </c>
      <c r="Z144" s="8">
        <v>701</v>
      </c>
      <c r="AA144" s="8">
        <v>225</v>
      </c>
      <c r="AB144" s="8">
        <v>165</v>
      </c>
      <c r="AC144" s="8">
        <v>215</v>
      </c>
    </row>
    <row r="145" spans="1:41">
      <c r="A145" s="7">
        <v>43220</v>
      </c>
      <c r="B145" s="8" t="s">
        <v>65</v>
      </c>
      <c r="C145" s="8">
        <v>2856</v>
      </c>
      <c r="D145" s="8">
        <v>4046</v>
      </c>
      <c r="E145" s="8">
        <v>714</v>
      </c>
      <c r="F145" s="8">
        <v>0</v>
      </c>
      <c r="G145" s="8">
        <v>0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>
        <v>135</v>
      </c>
      <c r="P145" s="8">
        <v>180</v>
      </c>
      <c r="Q145" s="8">
        <v>270</v>
      </c>
      <c r="R145" s="8">
        <v>0</v>
      </c>
      <c r="S145" s="8">
        <v>0</v>
      </c>
      <c r="T145" s="8">
        <v>0</v>
      </c>
      <c r="U145" s="8">
        <v>0</v>
      </c>
      <c r="V145" s="8">
        <v>0</v>
      </c>
      <c r="W145" s="8">
        <v>0</v>
      </c>
      <c r="X145" s="8">
        <v>160</v>
      </c>
      <c r="Y145" s="8">
        <v>280</v>
      </c>
      <c r="Z145" s="8">
        <v>40</v>
      </c>
      <c r="AA145" s="8">
        <v>40</v>
      </c>
      <c r="AB145" s="8">
        <v>80</v>
      </c>
      <c r="AC145" s="8">
        <v>40</v>
      </c>
    </row>
    <row r="146" spans="1:41">
      <c r="A146" s="7">
        <v>43220</v>
      </c>
      <c r="B146" s="8" t="s">
        <v>66</v>
      </c>
      <c r="C146" s="8">
        <v>2</v>
      </c>
      <c r="D146" s="8">
        <v>0</v>
      </c>
      <c r="E146" s="8">
        <v>2</v>
      </c>
      <c r="F146" s="8">
        <v>0</v>
      </c>
      <c r="G146" s="8">
        <v>0</v>
      </c>
      <c r="H146" s="8">
        <v>0</v>
      </c>
      <c r="I146" s="8">
        <v>0</v>
      </c>
      <c r="J146" s="8">
        <v>0</v>
      </c>
      <c r="K146" s="8">
        <v>0</v>
      </c>
      <c r="L146" s="8">
        <v>0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8">
        <v>0</v>
      </c>
      <c r="V146" s="8">
        <v>0</v>
      </c>
      <c r="W146" s="8">
        <v>0</v>
      </c>
      <c r="X146" s="8">
        <v>0</v>
      </c>
      <c r="Y146" s="8">
        <v>0</v>
      </c>
      <c r="Z146" s="8">
        <v>0</v>
      </c>
      <c r="AA146" s="8">
        <v>0</v>
      </c>
      <c r="AB146" s="8">
        <v>0</v>
      </c>
      <c r="AC146" s="8">
        <v>0</v>
      </c>
      <c r="AJ146" s="8" t="e">
        <v>#N/A</v>
      </c>
      <c r="AK146" s="8" t="e">
        <v>#N/A</v>
      </c>
      <c r="AL146" s="8" t="e">
        <v>#N/A</v>
      </c>
      <c r="AM146" s="8" t="e">
        <v>#N/A</v>
      </c>
      <c r="AN146" s="8" t="e">
        <v>#N/A</v>
      </c>
      <c r="AO146" s="8" t="e">
        <v>#N/A</v>
      </c>
    </row>
    <row r="147" spans="1:41">
      <c r="A147" s="7">
        <v>43227</v>
      </c>
      <c r="B147" s="8" t="s">
        <v>64</v>
      </c>
      <c r="C147" s="8">
        <v>4046</v>
      </c>
      <c r="D147" s="8">
        <v>3128</v>
      </c>
      <c r="E147" s="8">
        <v>3094</v>
      </c>
      <c r="F147" s="8">
        <v>245</v>
      </c>
      <c r="G147" s="8">
        <v>290</v>
      </c>
      <c r="H147" s="8">
        <v>388</v>
      </c>
      <c r="I147" s="8">
        <v>222</v>
      </c>
      <c r="J147" s="8">
        <v>194</v>
      </c>
      <c r="K147" s="8">
        <v>170</v>
      </c>
      <c r="L147" s="8">
        <v>151</v>
      </c>
      <c r="M147" s="8">
        <v>150</v>
      </c>
      <c r="N147" s="8">
        <v>149</v>
      </c>
      <c r="O147" s="8">
        <v>265</v>
      </c>
      <c r="P147" s="8">
        <v>315</v>
      </c>
      <c r="Q147" s="8">
        <v>325</v>
      </c>
      <c r="R147" s="8">
        <v>93</v>
      </c>
      <c r="S147" s="8">
        <v>173</v>
      </c>
      <c r="T147" s="8">
        <v>227</v>
      </c>
      <c r="U147" s="8">
        <v>208</v>
      </c>
      <c r="V147" s="8">
        <v>379</v>
      </c>
      <c r="W147" s="8">
        <v>375</v>
      </c>
      <c r="X147" s="8">
        <v>543</v>
      </c>
      <c r="Y147" s="8">
        <v>204</v>
      </c>
      <c r="Z147" s="8">
        <v>697</v>
      </c>
      <c r="AA147" s="8">
        <v>225</v>
      </c>
      <c r="AB147" s="8">
        <v>165</v>
      </c>
      <c r="AC147" s="8">
        <v>215</v>
      </c>
    </row>
    <row r="148" spans="1:41">
      <c r="A148" s="7">
        <v>43227</v>
      </c>
      <c r="B148" s="8" t="s">
        <v>65</v>
      </c>
      <c r="C148" s="8">
        <v>1904</v>
      </c>
      <c r="D148" s="8">
        <v>2312</v>
      </c>
      <c r="E148" s="8">
        <v>1428</v>
      </c>
      <c r="F148" s="8">
        <v>0</v>
      </c>
      <c r="G148" s="8">
        <v>0</v>
      </c>
      <c r="H148" s="8">
        <v>0</v>
      </c>
      <c r="I148" s="8">
        <v>0</v>
      </c>
      <c r="J148" s="8">
        <v>0</v>
      </c>
      <c r="K148" s="8">
        <v>0</v>
      </c>
      <c r="L148" s="8"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8">
        <v>0</v>
      </c>
      <c r="V148" s="8">
        <v>0</v>
      </c>
      <c r="W148" s="8">
        <v>0</v>
      </c>
      <c r="X148" s="8">
        <v>160</v>
      </c>
      <c r="Y148" s="8">
        <v>280</v>
      </c>
      <c r="Z148" s="8">
        <v>40</v>
      </c>
      <c r="AA148" s="8">
        <v>40</v>
      </c>
      <c r="AB148" s="8">
        <v>80</v>
      </c>
      <c r="AC148" s="8">
        <v>40</v>
      </c>
    </row>
    <row r="149" spans="1:41">
      <c r="A149" s="7">
        <v>43227</v>
      </c>
      <c r="B149" s="8" t="s">
        <v>66</v>
      </c>
      <c r="C149" s="8">
        <v>3</v>
      </c>
      <c r="D149" s="8">
        <v>3</v>
      </c>
      <c r="E149" s="8">
        <v>2</v>
      </c>
      <c r="F149" s="8">
        <v>136</v>
      </c>
      <c r="G149" s="8">
        <v>102</v>
      </c>
      <c r="H149" s="8">
        <v>204</v>
      </c>
      <c r="I149" s="8">
        <v>0</v>
      </c>
      <c r="J149" s="8">
        <v>0</v>
      </c>
      <c r="K149" s="8">
        <v>0</v>
      </c>
      <c r="L149" s="8">
        <v>0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231</v>
      </c>
      <c r="S149" s="8">
        <v>66</v>
      </c>
      <c r="T149" s="8">
        <v>198</v>
      </c>
      <c r="U149" s="8">
        <v>33</v>
      </c>
      <c r="V149" s="8">
        <v>0</v>
      </c>
      <c r="W149" s="8">
        <v>33</v>
      </c>
      <c r="X149" s="8">
        <v>0</v>
      </c>
      <c r="Y149" s="8">
        <v>0</v>
      </c>
      <c r="Z149" s="8">
        <v>0</v>
      </c>
      <c r="AA149" s="8">
        <v>0</v>
      </c>
      <c r="AB149" s="8">
        <v>0</v>
      </c>
      <c r="AC149" s="8">
        <v>0</v>
      </c>
      <c r="AJ149" s="8" t="e">
        <v>#N/A</v>
      </c>
      <c r="AK149" s="8" t="e">
        <v>#N/A</v>
      </c>
      <c r="AL149" s="8" t="e">
        <v>#N/A</v>
      </c>
      <c r="AM149" s="8" t="e">
        <v>#N/A</v>
      </c>
      <c r="AN149" s="8" t="e">
        <v>#N/A</v>
      </c>
      <c r="AO149" s="8" t="e">
        <v>#N/A</v>
      </c>
    </row>
    <row r="150" spans="1:41">
      <c r="A150" s="7">
        <v>43234</v>
      </c>
      <c r="B150" s="8" t="s">
        <v>64</v>
      </c>
      <c r="C150" s="8">
        <v>3469</v>
      </c>
      <c r="D150" s="8">
        <v>2176</v>
      </c>
      <c r="E150" s="8">
        <v>1666</v>
      </c>
      <c r="F150" s="8">
        <v>194</v>
      </c>
      <c r="G150" s="8">
        <v>269</v>
      </c>
      <c r="H150" s="8">
        <v>318</v>
      </c>
      <c r="I150" s="8">
        <v>222</v>
      </c>
      <c r="J150" s="8">
        <v>192</v>
      </c>
      <c r="K150" s="8">
        <v>168</v>
      </c>
      <c r="L150" s="8">
        <v>151</v>
      </c>
      <c r="M150" s="8">
        <v>150</v>
      </c>
      <c r="N150" s="8">
        <v>149</v>
      </c>
      <c r="O150" s="8">
        <v>205</v>
      </c>
      <c r="P150" s="8">
        <v>255</v>
      </c>
      <c r="Q150" s="8">
        <v>262</v>
      </c>
      <c r="R150" s="8">
        <v>69</v>
      </c>
      <c r="S150" s="8">
        <v>116</v>
      </c>
      <c r="T150" s="8">
        <v>149</v>
      </c>
      <c r="U150" s="8">
        <v>206</v>
      </c>
      <c r="V150" s="8">
        <v>362</v>
      </c>
      <c r="W150" s="8">
        <v>356</v>
      </c>
      <c r="X150" s="8">
        <v>703</v>
      </c>
      <c r="Y150" s="8">
        <v>284</v>
      </c>
      <c r="Z150" s="8">
        <v>741</v>
      </c>
      <c r="AA150" s="8">
        <v>266</v>
      </c>
      <c r="AB150" s="8">
        <v>245</v>
      </c>
      <c r="AC150" s="8">
        <v>255</v>
      </c>
    </row>
    <row r="151" spans="1:41">
      <c r="A151" s="7">
        <v>43234</v>
      </c>
      <c r="B151" s="8" t="s">
        <v>65</v>
      </c>
      <c r="C151" s="8">
        <v>1428</v>
      </c>
      <c r="D151" s="8">
        <v>2890</v>
      </c>
      <c r="E151" s="8">
        <v>2142</v>
      </c>
      <c r="F151" s="8">
        <v>136</v>
      </c>
      <c r="G151" s="8">
        <v>102</v>
      </c>
      <c r="H151" s="8">
        <v>204</v>
      </c>
      <c r="I151" s="8">
        <v>0</v>
      </c>
      <c r="J151" s="8">
        <v>0</v>
      </c>
      <c r="K151" s="8">
        <v>0</v>
      </c>
      <c r="L151" s="8">
        <v>0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231</v>
      </c>
      <c r="S151" s="8">
        <v>66</v>
      </c>
      <c r="T151" s="8">
        <v>198</v>
      </c>
      <c r="U151" s="8">
        <v>33</v>
      </c>
      <c r="V151" s="8">
        <v>0</v>
      </c>
      <c r="W151" s="8">
        <v>33</v>
      </c>
      <c r="X151" s="8">
        <v>0</v>
      </c>
      <c r="Y151" s="8">
        <v>0</v>
      </c>
      <c r="Z151" s="8">
        <v>0</v>
      </c>
      <c r="AA151" s="8">
        <v>0</v>
      </c>
      <c r="AB151" s="8">
        <v>0</v>
      </c>
      <c r="AC151" s="8">
        <v>0</v>
      </c>
    </row>
    <row r="152" spans="1:41">
      <c r="A152" s="7">
        <v>43234</v>
      </c>
      <c r="B152" s="8" t="s">
        <v>66</v>
      </c>
      <c r="C152" s="8">
        <v>5</v>
      </c>
      <c r="D152" s="8">
        <v>4</v>
      </c>
      <c r="E152" s="8">
        <v>3</v>
      </c>
      <c r="F152" s="8">
        <v>0</v>
      </c>
      <c r="G152" s="8">
        <v>0</v>
      </c>
      <c r="H152" s="8">
        <v>0</v>
      </c>
      <c r="I152" s="8">
        <v>0</v>
      </c>
      <c r="J152" s="8">
        <v>0</v>
      </c>
      <c r="K152" s="8">
        <v>0</v>
      </c>
      <c r="L152" s="8">
        <v>0</v>
      </c>
      <c r="M152" s="8">
        <v>0</v>
      </c>
      <c r="N152" s="8">
        <v>0</v>
      </c>
      <c r="O152" s="8">
        <v>135</v>
      </c>
      <c r="P152" s="8">
        <v>180</v>
      </c>
      <c r="Q152" s="8">
        <v>180</v>
      </c>
      <c r="R152" s="8">
        <v>0</v>
      </c>
      <c r="S152" s="8">
        <v>0</v>
      </c>
      <c r="T152" s="8">
        <v>0</v>
      </c>
      <c r="U152" s="8">
        <v>0</v>
      </c>
      <c r="V152" s="8">
        <v>0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8">
        <v>0</v>
      </c>
      <c r="AC152" s="8">
        <v>0</v>
      </c>
      <c r="AJ152" s="8" t="e">
        <v>#N/A</v>
      </c>
      <c r="AK152" s="8" t="e">
        <v>#N/A</v>
      </c>
      <c r="AL152" s="8" t="e">
        <v>#N/A</v>
      </c>
      <c r="AM152" s="8" t="e">
        <v>#N/A</v>
      </c>
      <c r="AN152" s="8" t="e">
        <v>#N/A</v>
      </c>
      <c r="AO152" s="8" t="e">
        <v>#N/A</v>
      </c>
    </row>
    <row r="153" spans="1:41">
      <c r="A153" s="7">
        <v>43241</v>
      </c>
      <c r="B153" s="8" t="s">
        <v>64</v>
      </c>
      <c r="C153" s="8">
        <v>2890</v>
      </c>
      <c r="D153" s="8">
        <v>2210</v>
      </c>
      <c r="E153" s="8">
        <v>1258</v>
      </c>
      <c r="F153" s="8">
        <v>257</v>
      </c>
      <c r="G153" s="8">
        <v>309</v>
      </c>
      <c r="H153" s="8">
        <v>263</v>
      </c>
      <c r="I153" s="8">
        <v>197</v>
      </c>
      <c r="J153" s="8">
        <v>158</v>
      </c>
      <c r="K153" s="8">
        <v>123</v>
      </c>
      <c r="L153" s="8">
        <v>151</v>
      </c>
      <c r="M153" s="8">
        <v>150</v>
      </c>
      <c r="N153" s="8">
        <v>149</v>
      </c>
      <c r="O153" s="8">
        <v>155</v>
      </c>
      <c r="P153" s="8">
        <v>180</v>
      </c>
      <c r="Q153" s="8">
        <v>180</v>
      </c>
      <c r="R153" s="8">
        <v>48</v>
      </c>
      <c r="S153" s="8">
        <v>112</v>
      </c>
      <c r="T153" s="8">
        <v>121</v>
      </c>
      <c r="U153" s="8">
        <v>333</v>
      </c>
      <c r="V153" s="8">
        <v>360</v>
      </c>
      <c r="W153" s="8">
        <v>206</v>
      </c>
      <c r="X153" s="8">
        <v>692</v>
      </c>
      <c r="Y153" s="8">
        <v>275</v>
      </c>
      <c r="Z153" s="8">
        <v>718</v>
      </c>
      <c r="AA153" s="8">
        <v>266</v>
      </c>
      <c r="AB153" s="8">
        <v>245</v>
      </c>
      <c r="AC153" s="8">
        <v>255</v>
      </c>
    </row>
    <row r="154" spans="1:41">
      <c r="A154" s="7">
        <v>43241</v>
      </c>
      <c r="B154" s="8" t="s">
        <v>65</v>
      </c>
      <c r="C154" s="8">
        <v>4284</v>
      </c>
      <c r="D154" s="8">
        <v>2890</v>
      </c>
      <c r="E154" s="8">
        <v>2380</v>
      </c>
      <c r="F154" s="8">
        <v>0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0</v>
      </c>
      <c r="M154" s="8">
        <v>0</v>
      </c>
      <c r="N154" s="8">
        <v>0</v>
      </c>
      <c r="O154" s="8">
        <v>180</v>
      </c>
      <c r="P154" s="8">
        <v>180</v>
      </c>
      <c r="Q154" s="8">
        <v>180</v>
      </c>
      <c r="R154" s="8">
        <v>231</v>
      </c>
      <c r="S154" s="8">
        <v>66</v>
      </c>
      <c r="T154" s="8">
        <v>198</v>
      </c>
      <c r="U154" s="8">
        <v>33</v>
      </c>
      <c r="V154" s="8">
        <v>0</v>
      </c>
      <c r="W154" s="8">
        <v>33</v>
      </c>
      <c r="X154" s="8">
        <v>0</v>
      </c>
      <c r="Y154" s="8">
        <v>0</v>
      </c>
      <c r="Z154" s="8">
        <v>0</v>
      </c>
      <c r="AA154" s="8">
        <v>0</v>
      </c>
      <c r="AB154" s="8">
        <v>0</v>
      </c>
      <c r="AC154" s="8">
        <v>0</v>
      </c>
    </row>
    <row r="155" spans="1:41">
      <c r="A155" s="7">
        <v>43241</v>
      </c>
      <c r="B155" s="8" t="s">
        <v>66</v>
      </c>
      <c r="C155" s="8">
        <v>0</v>
      </c>
      <c r="D155" s="8">
        <v>4</v>
      </c>
      <c r="E155" s="8">
        <v>3</v>
      </c>
      <c r="F155" s="8">
        <v>136</v>
      </c>
      <c r="G155" s="8">
        <v>68</v>
      </c>
      <c r="H155" s="8">
        <v>340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8">
        <v>0</v>
      </c>
      <c r="V155" s="8">
        <v>0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8">
        <v>0</v>
      </c>
      <c r="AC155" s="8">
        <v>0</v>
      </c>
      <c r="AJ155" s="8" t="e">
        <v>#N/A</v>
      </c>
      <c r="AK155" s="8" t="e">
        <v>#N/A</v>
      </c>
      <c r="AL155" s="8" t="e">
        <v>#N/A</v>
      </c>
      <c r="AM155" s="8" t="e">
        <v>#N/A</v>
      </c>
      <c r="AN155" s="8" t="e">
        <v>#N/A</v>
      </c>
      <c r="AO155" s="8" t="e">
        <v>#N/A</v>
      </c>
    </row>
    <row r="156" spans="1:41">
      <c r="A156" s="7">
        <v>43249</v>
      </c>
      <c r="B156" s="8" t="s">
        <v>64</v>
      </c>
      <c r="C156" s="8">
        <v>2516</v>
      </c>
      <c r="D156" s="8">
        <v>1836</v>
      </c>
      <c r="E156" s="8">
        <v>3196</v>
      </c>
      <c r="F156" s="8">
        <v>220</v>
      </c>
      <c r="G156" s="8">
        <v>275</v>
      </c>
      <c r="H156" s="8">
        <v>295</v>
      </c>
      <c r="I156" s="8">
        <v>197</v>
      </c>
      <c r="J156" s="8">
        <v>157</v>
      </c>
      <c r="K156" s="8">
        <v>123</v>
      </c>
      <c r="L156" s="8">
        <v>153</v>
      </c>
      <c r="M156" s="8">
        <v>150</v>
      </c>
      <c r="N156" s="8">
        <v>146</v>
      </c>
      <c r="O156" s="8">
        <v>215</v>
      </c>
      <c r="P156" s="8">
        <v>197</v>
      </c>
      <c r="Q156" s="8">
        <v>233</v>
      </c>
      <c r="R156" s="8">
        <v>249</v>
      </c>
      <c r="S156" s="8">
        <v>157</v>
      </c>
      <c r="T156" s="8">
        <v>304</v>
      </c>
      <c r="U156" s="8">
        <v>239</v>
      </c>
      <c r="V156" s="8">
        <v>357</v>
      </c>
      <c r="W156" s="8">
        <v>360</v>
      </c>
      <c r="X156" s="8">
        <v>673</v>
      </c>
      <c r="Y156" s="8">
        <v>269</v>
      </c>
      <c r="Z156" s="8">
        <v>712</v>
      </c>
      <c r="AA156" s="8">
        <v>258</v>
      </c>
      <c r="AB156" s="8">
        <v>242</v>
      </c>
      <c r="AC156" s="8">
        <v>255</v>
      </c>
    </row>
    <row r="157" spans="1:41">
      <c r="A157" s="7">
        <v>43249</v>
      </c>
      <c r="B157" s="8" t="s">
        <v>65</v>
      </c>
      <c r="C157" s="8">
        <v>9996</v>
      </c>
      <c r="D157" s="8">
        <v>8092</v>
      </c>
      <c r="E157" s="8">
        <v>9996</v>
      </c>
      <c r="F157" s="8">
        <v>136</v>
      </c>
      <c r="G157" s="8">
        <v>68</v>
      </c>
      <c r="H157" s="8">
        <v>340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8">
        <v>0</v>
      </c>
      <c r="V157" s="8">
        <v>0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8">
        <v>0</v>
      </c>
      <c r="AC157" s="8">
        <v>0</v>
      </c>
    </row>
    <row r="158" spans="1:41">
      <c r="A158" s="7">
        <v>43249</v>
      </c>
      <c r="B158" s="8" t="s">
        <v>66</v>
      </c>
      <c r="C158" s="8">
        <v>0</v>
      </c>
      <c r="D158" s="8">
        <v>0</v>
      </c>
      <c r="E158" s="8">
        <v>0</v>
      </c>
      <c r="F158" s="8">
        <v>0</v>
      </c>
      <c r="G158" s="8">
        <v>0</v>
      </c>
      <c r="H158" s="8">
        <v>0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>
        <v>135</v>
      </c>
      <c r="P158" s="8">
        <v>225</v>
      </c>
      <c r="Q158" s="8">
        <v>225</v>
      </c>
      <c r="R158" s="8">
        <v>0</v>
      </c>
      <c r="S158" s="8">
        <v>0</v>
      </c>
      <c r="T158" s="8">
        <v>0</v>
      </c>
      <c r="U158" s="8">
        <v>0</v>
      </c>
      <c r="V158" s="8">
        <v>0</v>
      </c>
      <c r="W158" s="8">
        <v>0</v>
      </c>
      <c r="X158" s="8">
        <v>0</v>
      </c>
      <c r="Y158" s="8">
        <v>0</v>
      </c>
      <c r="Z158" s="8">
        <v>0</v>
      </c>
      <c r="AA158" s="8">
        <v>0</v>
      </c>
      <c r="AB158" s="8">
        <v>0</v>
      </c>
      <c r="AC158" s="8">
        <v>0</v>
      </c>
      <c r="AJ158" s="8" t="e">
        <v>#N/A</v>
      </c>
      <c r="AK158" s="8" t="e">
        <v>#N/A</v>
      </c>
      <c r="AL158" s="8" t="e">
        <v>#N/A</v>
      </c>
      <c r="AM158" s="8" t="e">
        <v>#N/A</v>
      </c>
      <c r="AN158" s="8" t="e">
        <v>#N/A</v>
      </c>
      <c r="AO158" s="8" t="e">
        <v>#N/A</v>
      </c>
    </row>
    <row r="159" spans="1:41">
      <c r="A159" s="7">
        <v>43255</v>
      </c>
      <c r="B159" s="8" t="s">
        <v>64</v>
      </c>
      <c r="C159" s="8">
        <v>2312</v>
      </c>
      <c r="D159" s="8">
        <v>1530</v>
      </c>
      <c r="E159" s="8">
        <v>2380</v>
      </c>
      <c r="F159" s="8">
        <v>200</v>
      </c>
      <c r="G159" s="8">
        <v>262</v>
      </c>
      <c r="H159" s="8">
        <v>219</v>
      </c>
      <c r="I159" s="8">
        <v>197</v>
      </c>
      <c r="J159" s="8">
        <v>157</v>
      </c>
      <c r="K159" s="8">
        <v>123</v>
      </c>
      <c r="L159" s="8">
        <v>153</v>
      </c>
      <c r="M159" s="8">
        <v>150</v>
      </c>
      <c r="N159" s="8">
        <v>146</v>
      </c>
      <c r="O159" s="8">
        <v>175</v>
      </c>
      <c r="P159" s="8">
        <v>157</v>
      </c>
      <c r="Q159" s="8">
        <v>200</v>
      </c>
      <c r="R159" s="8">
        <v>235</v>
      </c>
      <c r="S159" s="8">
        <v>183</v>
      </c>
      <c r="T159" s="8">
        <v>183</v>
      </c>
      <c r="U159" s="8">
        <v>237</v>
      </c>
      <c r="V159" s="8">
        <v>351</v>
      </c>
      <c r="W159" s="8">
        <v>323</v>
      </c>
      <c r="X159" s="8">
        <v>623</v>
      </c>
      <c r="Y159" s="8">
        <v>369</v>
      </c>
      <c r="Z159" s="8">
        <v>712</v>
      </c>
      <c r="AA159" s="8">
        <v>258</v>
      </c>
      <c r="AB159" s="8">
        <v>242</v>
      </c>
      <c r="AC159" s="8">
        <v>255</v>
      </c>
    </row>
    <row r="160" spans="1:41">
      <c r="A160" s="7">
        <v>43255</v>
      </c>
      <c r="B160" s="8" t="s">
        <v>65</v>
      </c>
      <c r="C160" s="8">
        <v>9044</v>
      </c>
      <c r="D160" s="8">
        <v>9248</v>
      </c>
      <c r="E160" s="8">
        <v>8568</v>
      </c>
      <c r="F160" s="8">
        <v>136</v>
      </c>
      <c r="G160" s="8">
        <v>68</v>
      </c>
      <c r="H160" s="8">
        <v>340</v>
      </c>
      <c r="I160" s="8">
        <v>0</v>
      </c>
      <c r="J160" s="8">
        <v>0</v>
      </c>
      <c r="K160" s="8">
        <v>0</v>
      </c>
      <c r="L160" s="8">
        <v>0</v>
      </c>
      <c r="M160" s="8">
        <v>0</v>
      </c>
      <c r="N160" s="8">
        <v>0</v>
      </c>
      <c r="O160" s="8">
        <v>135</v>
      </c>
      <c r="P160" s="8">
        <v>225</v>
      </c>
      <c r="Q160" s="8">
        <v>225</v>
      </c>
      <c r="R160" s="8">
        <v>0</v>
      </c>
      <c r="S160" s="8">
        <v>0</v>
      </c>
      <c r="T160" s="8">
        <v>0</v>
      </c>
      <c r="U160" s="8">
        <v>0</v>
      </c>
      <c r="V160" s="8">
        <v>0</v>
      </c>
      <c r="W160" s="8">
        <v>0</v>
      </c>
      <c r="X160" s="8">
        <v>0</v>
      </c>
      <c r="Y160" s="8">
        <v>0</v>
      </c>
      <c r="Z160" s="8">
        <v>0</v>
      </c>
      <c r="AA160" s="8">
        <v>0</v>
      </c>
      <c r="AB160" s="8">
        <v>0</v>
      </c>
      <c r="AC160" s="8">
        <v>0</v>
      </c>
    </row>
    <row r="161" spans="1:41">
      <c r="A161" s="7">
        <v>43255</v>
      </c>
      <c r="B161" s="8" t="s">
        <v>66</v>
      </c>
      <c r="C161" s="8">
        <v>0</v>
      </c>
      <c r="D161" s="8">
        <v>0</v>
      </c>
      <c r="E161" s="8">
        <v>0</v>
      </c>
      <c r="F161" s="8">
        <v>0</v>
      </c>
      <c r="G161" s="8">
        <v>0</v>
      </c>
      <c r="H161" s="8">
        <v>0</v>
      </c>
      <c r="I161" s="8">
        <v>0</v>
      </c>
      <c r="J161" s="8">
        <v>0</v>
      </c>
      <c r="K161" s="8">
        <v>0</v>
      </c>
      <c r="L161" s="8">
        <v>0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8">
        <v>0</v>
      </c>
      <c r="V161" s="8">
        <v>0</v>
      </c>
      <c r="W161" s="8">
        <v>0</v>
      </c>
      <c r="X161" s="8">
        <v>0</v>
      </c>
      <c r="Y161" s="8">
        <v>0</v>
      </c>
      <c r="Z161" s="8">
        <v>0</v>
      </c>
      <c r="AA161" s="8">
        <v>0</v>
      </c>
      <c r="AB161" s="8">
        <v>0</v>
      </c>
      <c r="AC161" s="8">
        <v>0</v>
      </c>
      <c r="AJ161" s="8" t="e">
        <v>#N/A</v>
      </c>
      <c r="AK161" s="8" t="e">
        <v>#N/A</v>
      </c>
      <c r="AL161" s="8" t="e">
        <v>#N/A</v>
      </c>
      <c r="AM161" s="8" t="e">
        <v>#N/A</v>
      </c>
      <c r="AN161" s="8" t="e">
        <v>#N/A</v>
      </c>
      <c r="AO161" s="8" t="e">
        <v>#N/A</v>
      </c>
    </row>
    <row r="162" spans="1:41">
      <c r="A162" s="7">
        <v>43263</v>
      </c>
      <c r="B162" s="8" t="s">
        <v>64</v>
      </c>
      <c r="C162" s="8">
        <v>3332</v>
      </c>
      <c r="D162" s="8">
        <v>2924</v>
      </c>
      <c r="E162" s="8">
        <v>3740</v>
      </c>
      <c r="F162" s="8">
        <v>268</v>
      </c>
      <c r="G162" s="8">
        <v>264</v>
      </c>
      <c r="H162" s="8">
        <v>363</v>
      </c>
      <c r="I162" s="8">
        <v>194</v>
      </c>
      <c r="J162" s="8">
        <v>162</v>
      </c>
      <c r="K162" s="8">
        <v>118</v>
      </c>
      <c r="L162" s="8">
        <v>153</v>
      </c>
      <c r="M162" s="8">
        <v>150</v>
      </c>
      <c r="N162" s="8">
        <v>146</v>
      </c>
      <c r="O162" s="8">
        <v>250</v>
      </c>
      <c r="P162" s="8">
        <v>350</v>
      </c>
      <c r="Q162" s="8">
        <v>305</v>
      </c>
      <c r="R162" s="8">
        <v>245</v>
      </c>
      <c r="S162" s="8">
        <v>193</v>
      </c>
      <c r="T162" s="8">
        <v>264</v>
      </c>
      <c r="U162" s="8">
        <v>237</v>
      </c>
      <c r="V162" s="8">
        <v>350</v>
      </c>
      <c r="W162" s="8">
        <v>327</v>
      </c>
      <c r="X162" s="8">
        <v>626</v>
      </c>
      <c r="Y162" s="8">
        <v>257</v>
      </c>
      <c r="Z162" s="8">
        <v>686</v>
      </c>
      <c r="AA162" s="8">
        <v>258</v>
      </c>
      <c r="AB162" s="8">
        <v>241</v>
      </c>
      <c r="AC162" s="8">
        <v>254</v>
      </c>
    </row>
    <row r="163" spans="1:41">
      <c r="A163" s="7">
        <v>43263</v>
      </c>
      <c r="B163" s="8" t="s">
        <v>65</v>
      </c>
      <c r="C163" s="8">
        <v>6188</v>
      </c>
      <c r="D163" s="8">
        <v>5780</v>
      </c>
      <c r="E163" s="8">
        <v>5712</v>
      </c>
      <c r="F163" s="8">
        <v>0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8">
        <v>0</v>
      </c>
      <c r="V163" s="8">
        <v>0</v>
      </c>
      <c r="W163" s="8">
        <v>0</v>
      </c>
      <c r="X163" s="8">
        <v>0</v>
      </c>
      <c r="Y163" s="8">
        <v>0</v>
      </c>
      <c r="Z163" s="8">
        <v>0</v>
      </c>
      <c r="AA163" s="8">
        <v>0</v>
      </c>
      <c r="AB163" s="8">
        <v>0</v>
      </c>
      <c r="AC163" s="8">
        <v>0</v>
      </c>
    </row>
    <row r="164" spans="1:41">
      <c r="A164" s="7">
        <v>43263</v>
      </c>
      <c r="B164" s="8" t="s">
        <v>66</v>
      </c>
      <c r="C164" s="8">
        <v>0</v>
      </c>
      <c r="D164" s="8">
        <v>0</v>
      </c>
      <c r="E164" s="8">
        <v>0</v>
      </c>
      <c r="F164" s="8">
        <v>68</v>
      </c>
      <c r="G164" s="8">
        <v>102</v>
      </c>
      <c r="H164" s="8">
        <v>238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8">
        <v>0</v>
      </c>
      <c r="V164" s="8">
        <v>0</v>
      </c>
      <c r="W164" s="8">
        <v>0</v>
      </c>
      <c r="X164" s="8">
        <v>0</v>
      </c>
      <c r="Y164" s="8">
        <v>0</v>
      </c>
      <c r="Z164" s="8">
        <v>0</v>
      </c>
      <c r="AA164" s="8">
        <v>0</v>
      </c>
      <c r="AB164" s="8">
        <v>0</v>
      </c>
      <c r="AC164" s="8">
        <v>0</v>
      </c>
      <c r="AJ164" s="8" t="e">
        <v>#N/A</v>
      </c>
      <c r="AK164" s="8" t="e">
        <v>#N/A</v>
      </c>
      <c r="AL164" s="8" t="e">
        <v>#N/A</v>
      </c>
      <c r="AM164" s="8" t="e">
        <v>#N/A</v>
      </c>
      <c r="AN164" s="8" t="e">
        <v>#N/A</v>
      </c>
      <c r="AO164" s="8" t="e">
        <v>#N/A</v>
      </c>
    </row>
    <row r="165" spans="1:41">
      <c r="A165" s="7">
        <v>43270</v>
      </c>
      <c r="B165" s="8" t="s">
        <v>64</v>
      </c>
      <c r="C165" s="8">
        <v>3526</v>
      </c>
      <c r="D165" s="8">
        <v>5134</v>
      </c>
      <c r="E165" s="8">
        <v>2013</v>
      </c>
      <c r="F165" s="8">
        <v>204</v>
      </c>
      <c r="G165" s="8">
        <v>198</v>
      </c>
      <c r="H165" s="8">
        <v>272</v>
      </c>
      <c r="I165" s="8">
        <v>181</v>
      </c>
      <c r="J165" s="8">
        <v>154</v>
      </c>
      <c r="K165" s="8">
        <v>113</v>
      </c>
      <c r="L165" s="8">
        <v>156</v>
      </c>
      <c r="M165" s="8">
        <v>148</v>
      </c>
      <c r="N165" s="8">
        <v>145</v>
      </c>
      <c r="O165" s="8">
        <v>165</v>
      </c>
      <c r="P165" s="8">
        <v>235</v>
      </c>
      <c r="Q165" s="8">
        <v>265</v>
      </c>
      <c r="R165" s="8">
        <v>208</v>
      </c>
      <c r="S165" s="8">
        <v>152</v>
      </c>
      <c r="T165" s="8">
        <v>226</v>
      </c>
      <c r="U165" s="8">
        <v>237</v>
      </c>
      <c r="V165" s="8">
        <v>348</v>
      </c>
      <c r="W165" s="8">
        <v>313</v>
      </c>
      <c r="X165" s="8">
        <v>597</v>
      </c>
      <c r="Y165" s="8">
        <v>249</v>
      </c>
      <c r="Z165" s="8">
        <v>246</v>
      </c>
      <c r="AA165" s="8">
        <v>258</v>
      </c>
      <c r="AB165" s="8">
        <v>241</v>
      </c>
      <c r="AC165" s="8">
        <v>251</v>
      </c>
    </row>
    <row r="166" spans="1:41">
      <c r="A166" s="7">
        <v>43270</v>
      </c>
      <c r="B166" s="8" t="s">
        <v>65</v>
      </c>
      <c r="C166" s="8">
        <v>2856</v>
      </c>
      <c r="D166" s="8">
        <v>1734</v>
      </c>
      <c r="E166" s="8">
        <v>4284</v>
      </c>
      <c r="F166" s="8">
        <v>68</v>
      </c>
      <c r="G166" s="8">
        <v>102</v>
      </c>
      <c r="H166" s="8">
        <v>238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8">
        <v>0</v>
      </c>
      <c r="V166" s="8">
        <v>0</v>
      </c>
      <c r="W166" s="8">
        <v>0</v>
      </c>
      <c r="X166" s="8">
        <v>0</v>
      </c>
      <c r="Y166" s="8">
        <v>0</v>
      </c>
      <c r="Z166" s="8">
        <v>0</v>
      </c>
      <c r="AA166" s="8">
        <v>0</v>
      </c>
      <c r="AB166" s="8">
        <v>0</v>
      </c>
      <c r="AC166" s="8">
        <v>0</v>
      </c>
    </row>
    <row r="167" spans="1:41">
      <c r="A167" s="7">
        <v>43270</v>
      </c>
      <c r="B167" s="8" t="s">
        <v>66</v>
      </c>
      <c r="C167" s="8">
        <v>0</v>
      </c>
      <c r="D167" s="8">
        <v>0</v>
      </c>
      <c r="E167" s="8">
        <v>0</v>
      </c>
      <c r="F167" s="8">
        <v>0</v>
      </c>
      <c r="G167" s="8">
        <v>0</v>
      </c>
      <c r="H167" s="8">
        <v>0</v>
      </c>
      <c r="I167" s="8">
        <v>0</v>
      </c>
      <c r="J167" s="8">
        <v>0</v>
      </c>
      <c r="K167" s="8">
        <v>80</v>
      </c>
      <c r="L167" s="8">
        <v>0</v>
      </c>
      <c r="M167" s="8">
        <v>0</v>
      </c>
      <c r="N167" s="8">
        <v>0</v>
      </c>
      <c r="O167" s="8">
        <v>180</v>
      </c>
      <c r="P167" s="8">
        <v>180</v>
      </c>
      <c r="Q167" s="8">
        <v>135</v>
      </c>
      <c r="R167" s="8">
        <v>0</v>
      </c>
      <c r="S167" s="8">
        <v>0</v>
      </c>
      <c r="T167" s="8">
        <v>0</v>
      </c>
      <c r="U167" s="8">
        <v>0</v>
      </c>
      <c r="V167" s="8">
        <v>0</v>
      </c>
      <c r="W167" s="8">
        <v>0</v>
      </c>
      <c r="X167" s="8">
        <v>120</v>
      </c>
      <c r="Y167" s="8">
        <v>160</v>
      </c>
      <c r="Z167" s="8">
        <v>600</v>
      </c>
      <c r="AA167" s="8">
        <v>0</v>
      </c>
      <c r="AB167" s="8">
        <v>0</v>
      </c>
      <c r="AC167" s="8">
        <v>0</v>
      </c>
      <c r="AJ167" s="8" t="e">
        <v>#N/A</v>
      </c>
      <c r="AK167" s="8" t="e">
        <v>#N/A</v>
      </c>
      <c r="AL167" s="8" t="e">
        <v>#N/A</v>
      </c>
      <c r="AM167" s="8" t="e">
        <v>#N/A</v>
      </c>
      <c r="AN167" s="8" t="e">
        <v>#N/A</v>
      </c>
      <c r="AO167" s="8" t="e">
        <v>#N/A</v>
      </c>
    </row>
    <row r="168" spans="1:41">
      <c r="A168" s="7">
        <v>43276</v>
      </c>
      <c r="B168" s="8" t="s">
        <v>64</v>
      </c>
      <c r="C168" s="8">
        <v>4862</v>
      </c>
      <c r="D168" s="8">
        <v>5882</v>
      </c>
      <c r="E168" s="8">
        <v>3842</v>
      </c>
      <c r="F168" s="8">
        <v>320</v>
      </c>
      <c r="G168" s="8">
        <v>325</v>
      </c>
      <c r="H168" s="8">
        <v>520</v>
      </c>
      <c r="I168" s="8">
        <v>131</v>
      </c>
      <c r="J168" s="8">
        <v>124</v>
      </c>
      <c r="K168" s="8">
        <v>67</v>
      </c>
      <c r="L168" s="8">
        <v>151</v>
      </c>
      <c r="M168" s="8">
        <v>141</v>
      </c>
      <c r="N168" s="8">
        <v>148</v>
      </c>
      <c r="O168" s="8">
        <v>124</v>
      </c>
      <c r="P168" s="8">
        <v>205</v>
      </c>
      <c r="Q168" s="8">
        <v>1500</v>
      </c>
      <c r="R168" s="8">
        <v>172</v>
      </c>
      <c r="S168" s="8">
        <v>133</v>
      </c>
      <c r="T168" s="8">
        <v>191</v>
      </c>
      <c r="U168" s="8">
        <v>224</v>
      </c>
      <c r="V168" s="8">
        <v>447</v>
      </c>
      <c r="W168" s="8">
        <v>298</v>
      </c>
      <c r="X168" s="8">
        <v>530</v>
      </c>
      <c r="Y168" s="8">
        <v>233</v>
      </c>
      <c r="Z168" s="8">
        <v>654</v>
      </c>
      <c r="AA168" s="8">
        <v>251</v>
      </c>
      <c r="AB168" s="8">
        <v>241</v>
      </c>
      <c r="AC168" s="8">
        <v>248</v>
      </c>
    </row>
    <row r="169" spans="1:41">
      <c r="A169" s="7">
        <v>43276</v>
      </c>
      <c r="B169" s="8" t="s">
        <v>65</v>
      </c>
      <c r="C169" s="8">
        <v>7616</v>
      </c>
      <c r="D169" s="8">
        <v>6936</v>
      </c>
      <c r="E169" s="8">
        <v>7854</v>
      </c>
      <c r="F169" s="8">
        <v>0</v>
      </c>
      <c r="G169" s="8">
        <v>0</v>
      </c>
      <c r="H169" s="8">
        <v>0</v>
      </c>
      <c r="I169" s="8">
        <v>0</v>
      </c>
      <c r="J169" s="8">
        <v>0</v>
      </c>
      <c r="K169" s="8">
        <v>80</v>
      </c>
      <c r="L169" s="8">
        <v>0</v>
      </c>
      <c r="M169" s="8">
        <v>0</v>
      </c>
      <c r="N169" s="8">
        <v>0</v>
      </c>
      <c r="O169" s="8">
        <v>180</v>
      </c>
      <c r="P169" s="8">
        <v>180</v>
      </c>
      <c r="Q169" s="8">
        <v>135</v>
      </c>
      <c r="R169" s="8">
        <v>0</v>
      </c>
      <c r="S169" s="8">
        <v>0</v>
      </c>
      <c r="T169" s="8">
        <v>0</v>
      </c>
      <c r="U169" s="8">
        <v>0</v>
      </c>
      <c r="V169" s="8">
        <v>0</v>
      </c>
      <c r="W169" s="8">
        <v>0</v>
      </c>
      <c r="X169" s="8">
        <v>120</v>
      </c>
      <c r="Y169" s="8">
        <v>160</v>
      </c>
      <c r="Z169" s="8">
        <v>600</v>
      </c>
      <c r="AA169" s="8">
        <v>0</v>
      </c>
      <c r="AB169" s="8">
        <v>0</v>
      </c>
      <c r="AC169" s="8">
        <v>0</v>
      </c>
    </row>
    <row r="170" spans="1:41">
      <c r="A170" s="7">
        <v>43276</v>
      </c>
      <c r="B170" s="8" t="s">
        <v>66</v>
      </c>
      <c r="C170" s="8">
        <v>0</v>
      </c>
      <c r="D170" s="8">
        <v>0</v>
      </c>
      <c r="E170" s="8">
        <v>0</v>
      </c>
      <c r="F170" s="8">
        <v>0</v>
      </c>
      <c r="G170" s="8">
        <v>0</v>
      </c>
      <c r="H170" s="8">
        <v>0</v>
      </c>
      <c r="I170" s="8">
        <v>0</v>
      </c>
      <c r="J170" s="8">
        <v>0</v>
      </c>
      <c r="K170" s="8">
        <v>0</v>
      </c>
      <c r="L170" s="8"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8">
        <v>0</v>
      </c>
      <c r="V170" s="8">
        <v>0</v>
      </c>
      <c r="W170" s="8">
        <v>0</v>
      </c>
      <c r="X170" s="8">
        <v>0</v>
      </c>
      <c r="Y170" s="8">
        <v>0</v>
      </c>
      <c r="Z170" s="8">
        <v>0</v>
      </c>
      <c r="AA170" s="8">
        <v>0</v>
      </c>
      <c r="AB170" s="8">
        <v>0</v>
      </c>
      <c r="AC170" s="8">
        <v>0</v>
      </c>
      <c r="AJ170" s="8" t="e">
        <v>#N/A</v>
      </c>
      <c r="AK170" s="8" t="e">
        <v>#N/A</v>
      </c>
      <c r="AL170" s="8" t="e">
        <v>#N/A</v>
      </c>
      <c r="AM170" s="8" t="e">
        <v>#N/A</v>
      </c>
      <c r="AN170" s="8" t="e">
        <v>#N/A</v>
      </c>
      <c r="AO170" s="8" t="e">
        <v>#N/A</v>
      </c>
    </row>
    <row r="171" spans="1:41">
      <c r="A171" s="7">
        <v>43283</v>
      </c>
      <c r="B171" s="8" t="s">
        <v>64</v>
      </c>
      <c r="C171" s="8">
        <v>4251</v>
      </c>
      <c r="D171" s="8">
        <v>4742</v>
      </c>
      <c r="E171" s="8">
        <v>4123</v>
      </c>
      <c r="F171" s="8">
        <v>313</v>
      </c>
      <c r="G171" s="8">
        <v>317</v>
      </c>
      <c r="H171" s="8">
        <v>483</v>
      </c>
      <c r="I171" s="8">
        <v>131</v>
      </c>
      <c r="J171" s="8">
        <v>125</v>
      </c>
      <c r="K171" s="8">
        <v>67</v>
      </c>
      <c r="L171" s="8">
        <v>151</v>
      </c>
      <c r="M171" s="8">
        <v>148</v>
      </c>
      <c r="N171" s="8">
        <v>145</v>
      </c>
      <c r="O171" s="8">
        <v>90</v>
      </c>
      <c r="P171" s="8">
        <v>140</v>
      </c>
      <c r="Q171" s="8">
        <v>180</v>
      </c>
      <c r="R171" s="8">
        <v>155</v>
      </c>
      <c r="S171" s="8">
        <v>140</v>
      </c>
      <c r="T171" s="8">
        <v>166</v>
      </c>
      <c r="U171" s="8">
        <v>225</v>
      </c>
      <c r="V171" s="8">
        <v>336</v>
      </c>
      <c r="W171" s="8">
        <v>293</v>
      </c>
      <c r="X171" s="8">
        <v>530</v>
      </c>
      <c r="Y171" s="8">
        <v>426</v>
      </c>
      <c r="Z171" s="8">
        <v>648</v>
      </c>
      <c r="AA171" s="8">
        <v>252</v>
      </c>
      <c r="AB171" s="8">
        <v>240</v>
      </c>
      <c r="AC171" s="8">
        <v>274</v>
      </c>
    </row>
    <row r="172" spans="1:41">
      <c r="A172" s="7">
        <v>43283</v>
      </c>
      <c r="B172" s="8" t="s">
        <v>65</v>
      </c>
      <c r="C172" s="8">
        <v>7140</v>
      </c>
      <c r="D172" s="8">
        <v>6936</v>
      </c>
      <c r="E172" s="8">
        <v>2426</v>
      </c>
      <c r="F172" s="8">
        <v>0</v>
      </c>
      <c r="G172" s="8">
        <v>0</v>
      </c>
      <c r="H172" s="8">
        <v>0</v>
      </c>
      <c r="I172" s="8">
        <v>0</v>
      </c>
      <c r="J172" s="8">
        <v>0</v>
      </c>
      <c r="K172" s="8">
        <v>80</v>
      </c>
      <c r="L172" s="8">
        <v>0</v>
      </c>
      <c r="M172" s="8">
        <v>0</v>
      </c>
      <c r="N172" s="8">
        <v>0</v>
      </c>
      <c r="O172" s="8">
        <v>180</v>
      </c>
      <c r="P172" s="8">
        <v>180</v>
      </c>
      <c r="Q172" s="8">
        <v>135</v>
      </c>
      <c r="R172" s="8">
        <v>0</v>
      </c>
      <c r="S172" s="8">
        <v>0</v>
      </c>
      <c r="T172" s="8">
        <v>0</v>
      </c>
      <c r="U172" s="8">
        <v>0</v>
      </c>
      <c r="V172" s="8">
        <v>0</v>
      </c>
      <c r="W172" s="8">
        <v>0</v>
      </c>
      <c r="X172" s="8">
        <v>120</v>
      </c>
      <c r="Y172" s="8">
        <v>160</v>
      </c>
      <c r="Z172" s="8">
        <v>600</v>
      </c>
      <c r="AA172" s="8">
        <v>0</v>
      </c>
      <c r="AB172" s="8">
        <v>0</v>
      </c>
      <c r="AC172" s="8">
        <v>0</v>
      </c>
    </row>
    <row r="173" spans="1:41">
      <c r="A173" s="7">
        <v>43283</v>
      </c>
      <c r="B173" s="8" t="s">
        <v>66</v>
      </c>
      <c r="C173" s="8">
        <v>0</v>
      </c>
      <c r="D173" s="8">
        <v>0</v>
      </c>
      <c r="E173" s="8">
        <v>0</v>
      </c>
      <c r="F173" s="8">
        <v>0</v>
      </c>
      <c r="G173" s="8">
        <v>0</v>
      </c>
      <c r="H173" s="8">
        <v>0</v>
      </c>
      <c r="I173" s="8">
        <v>0</v>
      </c>
      <c r="J173" s="8">
        <v>0</v>
      </c>
      <c r="K173" s="8">
        <v>0</v>
      </c>
      <c r="L173" s="8">
        <v>0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165</v>
      </c>
      <c r="S173" s="8">
        <v>99</v>
      </c>
      <c r="T173" s="8">
        <v>231</v>
      </c>
      <c r="U173" s="8">
        <v>0</v>
      </c>
      <c r="V173" s="8">
        <v>0</v>
      </c>
      <c r="W173" s="8">
        <v>99</v>
      </c>
      <c r="X173" s="8">
        <v>0</v>
      </c>
      <c r="Y173" s="8">
        <v>0</v>
      </c>
      <c r="Z173" s="8">
        <v>0</v>
      </c>
      <c r="AA173" s="8">
        <v>0</v>
      </c>
      <c r="AB173" s="8">
        <v>0</v>
      </c>
      <c r="AC173" s="8">
        <v>0</v>
      </c>
      <c r="AJ173" s="8" t="e">
        <v>#N/A</v>
      </c>
      <c r="AK173" s="8" t="e">
        <v>#N/A</v>
      </c>
      <c r="AL173" s="8" t="e">
        <v>#N/A</v>
      </c>
      <c r="AM173" s="8" t="e">
        <v>#N/A</v>
      </c>
      <c r="AN173" s="8" t="e">
        <v>#N/A</v>
      </c>
      <c r="AO173" s="8" t="e">
        <v>#N/A</v>
      </c>
    </row>
    <row r="174" spans="1:41">
      <c r="A174" s="7">
        <v>43297</v>
      </c>
      <c r="B174" s="8" t="s">
        <v>64</v>
      </c>
      <c r="C174" s="8">
        <v>0</v>
      </c>
      <c r="D174" s="8">
        <v>0</v>
      </c>
      <c r="E174" s="8">
        <v>0</v>
      </c>
      <c r="F174" s="8">
        <v>279</v>
      </c>
      <c r="G174" s="8">
        <v>223</v>
      </c>
      <c r="H174" s="8">
        <v>383</v>
      </c>
      <c r="I174" s="8">
        <v>67</v>
      </c>
      <c r="J174" s="8">
        <v>98</v>
      </c>
      <c r="K174" s="8">
        <v>97</v>
      </c>
      <c r="L174" s="8">
        <v>148</v>
      </c>
      <c r="M174" s="8">
        <v>148</v>
      </c>
      <c r="N174" s="8">
        <v>145</v>
      </c>
      <c r="O174" s="8">
        <v>178</v>
      </c>
      <c r="P174" s="8">
        <v>180</v>
      </c>
      <c r="Q174" s="8" t="s">
        <v>67</v>
      </c>
      <c r="R174" s="8">
        <v>47</v>
      </c>
      <c r="S174" s="8">
        <v>48</v>
      </c>
      <c r="T174" s="8">
        <v>0</v>
      </c>
      <c r="U174" s="8">
        <v>221</v>
      </c>
      <c r="V174" s="8">
        <v>311</v>
      </c>
      <c r="W174" s="8">
        <v>257</v>
      </c>
      <c r="X174" s="8">
        <v>522</v>
      </c>
      <c r="Y174" s="8">
        <v>424</v>
      </c>
      <c r="Z174" s="8">
        <v>635</v>
      </c>
      <c r="AA174" s="8">
        <v>250</v>
      </c>
      <c r="AB174" s="8">
        <v>240</v>
      </c>
      <c r="AC174" s="8">
        <v>243</v>
      </c>
    </row>
    <row r="175" spans="1:41">
      <c r="A175" s="7">
        <v>43297</v>
      </c>
      <c r="B175" s="8" t="s">
        <v>65</v>
      </c>
      <c r="C175" s="8">
        <v>0</v>
      </c>
      <c r="D175" s="8">
        <v>0</v>
      </c>
      <c r="E175" s="8">
        <v>0</v>
      </c>
      <c r="F175" s="8">
        <v>0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165</v>
      </c>
      <c r="T175" s="8">
        <v>99</v>
      </c>
      <c r="U175" s="8">
        <v>264</v>
      </c>
      <c r="V175" s="8">
        <v>0</v>
      </c>
      <c r="W175" s="8">
        <v>99</v>
      </c>
      <c r="X175" s="8">
        <v>120</v>
      </c>
      <c r="Y175" s="8">
        <v>160</v>
      </c>
      <c r="Z175" s="8">
        <v>600</v>
      </c>
      <c r="AA175" s="8">
        <v>0</v>
      </c>
      <c r="AB175" s="8">
        <v>0</v>
      </c>
      <c r="AC175" s="8">
        <v>0</v>
      </c>
    </row>
    <row r="176" spans="1:41">
      <c r="A176" s="7">
        <v>43297</v>
      </c>
      <c r="B176" s="8" t="s">
        <v>66</v>
      </c>
      <c r="C176" s="8">
        <v>0</v>
      </c>
      <c r="D176" s="8">
        <v>0</v>
      </c>
      <c r="E176" s="8">
        <v>0</v>
      </c>
      <c r="F176" s="8">
        <v>0</v>
      </c>
      <c r="G176" s="8">
        <v>0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165</v>
      </c>
      <c r="S176" s="8">
        <v>99</v>
      </c>
      <c r="T176" s="8">
        <v>231</v>
      </c>
      <c r="U176" s="8">
        <v>0</v>
      </c>
      <c r="V176" s="8">
        <v>0</v>
      </c>
      <c r="W176" s="8">
        <v>99</v>
      </c>
      <c r="X176" s="8">
        <v>0</v>
      </c>
      <c r="Y176" s="8">
        <v>0</v>
      </c>
      <c r="Z176" s="8">
        <v>0</v>
      </c>
      <c r="AA176" s="8">
        <v>0</v>
      </c>
      <c r="AB176" s="8">
        <v>0</v>
      </c>
      <c r="AC176" s="8">
        <v>0</v>
      </c>
      <c r="AJ176" s="8" t="e">
        <v>#N/A</v>
      </c>
      <c r="AK176" s="8" t="e">
        <v>#N/A</v>
      </c>
      <c r="AL176" s="8" t="e">
        <v>#N/A</v>
      </c>
      <c r="AM176" s="8" t="e">
        <v>#N/A</v>
      </c>
      <c r="AN176" s="8" t="e">
        <v>#N/A</v>
      </c>
      <c r="AO176" s="8" t="e">
        <v>#N/A</v>
      </c>
    </row>
    <row r="177" spans="1:41">
      <c r="A177" s="7">
        <v>43297</v>
      </c>
      <c r="B177" s="8" t="s">
        <v>64</v>
      </c>
      <c r="C177" s="8">
        <v>0</v>
      </c>
      <c r="D177" s="8">
        <v>0</v>
      </c>
      <c r="E177" s="8">
        <v>0</v>
      </c>
      <c r="F177" s="8">
        <v>279</v>
      </c>
      <c r="G177" s="8">
        <v>223</v>
      </c>
      <c r="H177" s="8">
        <v>383</v>
      </c>
      <c r="I177" s="8">
        <v>67</v>
      </c>
      <c r="J177" s="8">
        <v>98</v>
      </c>
      <c r="K177" s="8">
        <v>97</v>
      </c>
      <c r="L177" s="8">
        <v>148</v>
      </c>
      <c r="M177" s="8">
        <v>148</v>
      </c>
      <c r="N177" s="8">
        <v>145</v>
      </c>
      <c r="O177" s="8">
        <v>178</v>
      </c>
      <c r="P177" s="8">
        <v>180</v>
      </c>
      <c r="Q177" s="8">
        <v>180</v>
      </c>
      <c r="R177" s="8">
        <v>47</v>
      </c>
      <c r="S177" s="8">
        <v>48</v>
      </c>
      <c r="T177" s="8">
        <v>0</v>
      </c>
      <c r="U177" s="8">
        <v>221</v>
      </c>
      <c r="V177" s="8">
        <v>311</v>
      </c>
      <c r="W177" s="8">
        <v>257</v>
      </c>
      <c r="X177" s="8">
        <v>522</v>
      </c>
      <c r="Y177" s="8">
        <v>424</v>
      </c>
      <c r="Z177" s="8">
        <v>635</v>
      </c>
      <c r="AA177" s="8">
        <v>250</v>
      </c>
      <c r="AB177" s="8">
        <v>240</v>
      </c>
      <c r="AC177" s="8">
        <v>243</v>
      </c>
    </row>
    <row r="178" spans="1:41">
      <c r="A178" s="7">
        <v>43297</v>
      </c>
      <c r="B178" s="8" t="s">
        <v>65</v>
      </c>
      <c r="C178" s="8">
        <v>0</v>
      </c>
      <c r="D178" s="8">
        <v>0</v>
      </c>
      <c r="E178" s="8">
        <v>0</v>
      </c>
      <c r="F178" s="8">
        <v>0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165</v>
      </c>
      <c r="T178" s="8">
        <v>99</v>
      </c>
      <c r="U178" s="8">
        <v>264</v>
      </c>
      <c r="V178" s="8">
        <v>0</v>
      </c>
      <c r="W178" s="8">
        <v>99</v>
      </c>
      <c r="X178" s="8">
        <v>120</v>
      </c>
      <c r="Y178" s="8">
        <v>160</v>
      </c>
      <c r="Z178" s="8">
        <v>600</v>
      </c>
      <c r="AA178" s="8">
        <v>0</v>
      </c>
      <c r="AB178" s="8">
        <v>0</v>
      </c>
      <c r="AC178" s="8">
        <v>0</v>
      </c>
    </row>
    <row r="179" spans="1:41">
      <c r="A179" s="7">
        <v>43297</v>
      </c>
      <c r="B179" s="8" t="s">
        <v>66</v>
      </c>
      <c r="C179" s="8">
        <v>0</v>
      </c>
      <c r="D179" s="8">
        <v>0</v>
      </c>
      <c r="E179" s="8">
        <v>0</v>
      </c>
      <c r="F179" s="8">
        <v>0</v>
      </c>
      <c r="G179" s="8">
        <v>0</v>
      </c>
      <c r="H179" s="8">
        <v>0</v>
      </c>
      <c r="I179" s="8">
        <v>120</v>
      </c>
      <c r="J179" s="8">
        <v>120</v>
      </c>
      <c r="K179" s="8">
        <v>80</v>
      </c>
      <c r="L179" s="8">
        <v>0</v>
      </c>
      <c r="M179" s="8">
        <v>0</v>
      </c>
      <c r="N179" s="8">
        <v>0</v>
      </c>
      <c r="O179" s="8">
        <v>225</v>
      </c>
      <c r="P179" s="8">
        <v>315</v>
      </c>
      <c r="Q179" s="8">
        <v>270</v>
      </c>
      <c r="R179" s="8">
        <v>264</v>
      </c>
      <c r="S179" s="8">
        <v>0</v>
      </c>
      <c r="T179" s="8">
        <v>330</v>
      </c>
      <c r="U179" s="8">
        <v>0</v>
      </c>
      <c r="V179" s="8">
        <v>0</v>
      </c>
      <c r="W179" s="8">
        <v>33</v>
      </c>
      <c r="X179" s="8">
        <v>0</v>
      </c>
      <c r="Y179" s="8">
        <v>0</v>
      </c>
      <c r="Z179" s="8">
        <v>0</v>
      </c>
      <c r="AA179" s="8">
        <v>0</v>
      </c>
      <c r="AB179" s="8">
        <v>0</v>
      </c>
      <c r="AC179" s="8">
        <v>0</v>
      </c>
      <c r="AJ179" s="8" t="e">
        <v>#N/A</v>
      </c>
      <c r="AK179" s="8" t="e">
        <v>#N/A</v>
      </c>
      <c r="AL179" s="8" t="e">
        <v>#N/A</v>
      </c>
      <c r="AM179" s="8" t="e">
        <v>#N/A</v>
      </c>
      <c r="AN179" s="8" t="e">
        <v>#N/A</v>
      </c>
      <c r="AO179" s="8" t="e">
        <v>#N/A</v>
      </c>
    </row>
    <row r="180" spans="1:41">
      <c r="A180" s="7">
        <v>43298</v>
      </c>
      <c r="B180" s="8" t="s">
        <v>64</v>
      </c>
      <c r="C180" s="8">
        <v>0</v>
      </c>
      <c r="D180" s="8">
        <v>0</v>
      </c>
      <c r="E180" s="8">
        <v>0</v>
      </c>
      <c r="F180" s="8">
        <v>279</v>
      </c>
      <c r="G180" s="8">
        <v>223</v>
      </c>
      <c r="H180" s="8">
        <v>383</v>
      </c>
      <c r="I180" s="8">
        <v>67</v>
      </c>
      <c r="J180" s="8">
        <v>98</v>
      </c>
      <c r="K180" s="8">
        <v>97</v>
      </c>
      <c r="L180" s="8">
        <v>148</v>
      </c>
      <c r="M180" s="8">
        <v>148</v>
      </c>
      <c r="N180" s="8">
        <v>145</v>
      </c>
      <c r="O180" s="8">
        <v>178</v>
      </c>
      <c r="P180" s="8">
        <v>180</v>
      </c>
      <c r="Q180" s="8">
        <v>180</v>
      </c>
      <c r="R180" s="8">
        <v>47</v>
      </c>
      <c r="S180" s="8">
        <v>48</v>
      </c>
      <c r="T180" s="8">
        <v>0</v>
      </c>
      <c r="U180" s="8">
        <v>221</v>
      </c>
      <c r="V180" s="8">
        <v>311</v>
      </c>
      <c r="W180" s="8">
        <v>257</v>
      </c>
      <c r="X180" s="8">
        <v>522</v>
      </c>
      <c r="Y180" s="8">
        <v>424</v>
      </c>
      <c r="Z180" s="8">
        <v>635</v>
      </c>
      <c r="AA180" s="8">
        <v>250</v>
      </c>
      <c r="AB180" s="8">
        <v>240</v>
      </c>
      <c r="AC180" s="8">
        <v>243</v>
      </c>
    </row>
    <row r="181" spans="1:41">
      <c r="A181" s="7">
        <v>43298</v>
      </c>
      <c r="B181" s="8" t="s">
        <v>65</v>
      </c>
      <c r="C181" s="8">
        <v>0</v>
      </c>
      <c r="D181" s="8">
        <v>0</v>
      </c>
      <c r="E181" s="8">
        <v>0</v>
      </c>
      <c r="F181" s="8">
        <v>0</v>
      </c>
      <c r="G181" s="8">
        <v>0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165</v>
      </c>
      <c r="T181" s="8">
        <v>99</v>
      </c>
      <c r="U181" s="8">
        <v>264</v>
      </c>
      <c r="V181" s="8">
        <v>0</v>
      </c>
      <c r="W181" s="8">
        <v>99</v>
      </c>
      <c r="X181" s="8">
        <v>120</v>
      </c>
      <c r="Y181" s="8">
        <v>160</v>
      </c>
      <c r="Z181" s="8">
        <v>600</v>
      </c>
      <c r="AA181" s="8">
        <v>0</v>
      </c>
      <c r="AB181" s="8">
        <v>0</v>
      </c>
      <c r="AC181" s="8">
        <v>0</v>
      </c>
    </row>
    <row r="182" spans="1:41">
      <c r="A182" s="7">
        <v>43298</v>
      </c>
      <c r="B182" s="8" t="s">
        <v>66</v>
      </c>
      <c r="C182" s="8">
        <v>0</v>
      </c>
      <c r="D182" s="8">
        <v>0</v>
      </c>
      <c r="E182" s="8">
        <v>0</v>
      </c>
      <c r="F182" s="8">
        <v>68</v>
      </c>
      <c r="G182" s="8">
        <v>136</v>
      </c>
      <c r="H182" s="8">
        <v>204</v>
      </c>
      <c r="I182" s="8">
        <v>160</v>
      </c>
      <c r="J182" s="8">
        <v>120</v>
      </c>
      <c r="K182" s="8">
        <v>120</v>
      </c>
      <c r="L182" s="8">
        <v>0</v>
      </c>
      <c r="M182" s="8">
        <v>0</v>
      </c>
      <c r="N182" s="8">
        <v>0</v>
      </c>
      <c r="O182" s="8">
        <v>225</v>
      </c>
      <c r="P182" s="8">
        <v>315</v>
      </c>
      <c r="Q182" s="8">
        <v>270</v>
      </c>
      <c r="R182" s="8">
        <v>264</v>
      </c>
      <c r="S182" s="8">
        <v>0</v>
      </c>
      <c r="T182" s="8">
        <v>330</v>
      </c>
      <c r="U182" s="8">
        <v>0</v>
      </c>
      <c r="V182" s="8">
        <v>0</v>
      </c>
      <c r="W182" s="8">
        <v>33</v>
      </c>
      <c r="X182" s="8">
        <v>0</v>
      </c>
      <c r="Y182" s="8">
        <v>0</v>
      </c>
      <c r="Z182" s="8">
        <v>0</v>
      </c>
      <c r="AA182" s="8">
        <v>0</v>
      </c>
      <c r="AB182" s="8">
        <v>0</v>
      </c>
      <c r="AC182" s="8">
        <v>0</v>
      </c>
      <c r="AJ182" s="8" t="e">
        <v>#N/A</v>
      </c>
      <c r="AK182" s="8" t="e">
        <v>#N/A</v>
      </c>
      <c r="AL182" s="8" t="e">
        <v>#N/A</v>
      </c>
      <c r="AM182" s="8" t="e">
        <v>#N/A</v>
      </c>
      <c r="AN182" s="8" t="e">
        <v>#N/A</v>
      </c>
      <c r="AO182" s="8" t="e">
        <v>#N/A</v>
      </c>
    </row>
    <row r="183" spans="1:41">
      <c r="A183" s="7">
        <v>43305</v>
      </c>
      <c r="B183" s="8" t="s">
        <v>64</v>
      </c>
      <c r="C183" s="8">
        <v>0</v>
      </c>
      <c r="D183" s="8">
        <v>0</v>
      </c>
      <c r="E183" s="8">
        <v>0</v>
      </c>
      <c r="F183" s="8">
        <v>262</v>
      </c>
      <c r="G183" s="8">
        <v>203</v>
      </c>
      <c r="H183" s="8">
        <v>258</v>
      </c>
      <c r="I183" s="8">
        <v>54</v>
      </c>
      <c r="J183" s="8">
        <v>80</v>
      </c>
      <c r="K183" s="8">
        <v>75</v>
      </c>
      <c r="L183" s="8">
        <v>150</v>
      </c>
      <c r="M183" s="8">
        <v>148</v>
      </c>
      <c r="N183" s="8">
        <v>145</v>
      </c>
      <c r="O183" s="8">
        <v>120</v>
      </c>
      <c r="P183" s="8">
        <v>113</v>
      </c>
      <c r="Q183" s="8">
        <v>103</v>
      </c>
      <c r="R183" s="8">
        <v>30</v>
      </c>
      <c r="S183" s="8">
        <v>35</v>
      </c>
      <c r="T183" s="8">
        <v>0</v>
      </c>
      <c r="U183" s="8">
        <v>217</v>
      </c>
      <c r="V183" s="8">
        <v>308</v>
      </c>
      <c r="W183" s="8">
        <v>387</v>
      </c>
      <c r="X183" s="8">
        <v>468</v>
      </c>
      <c r="Y183" s="8">
        <v>345</v>
      </c>
      <c r="Z183" s="8">
        <v>606</v>
      </c>
      <c r="AA183" s="8">
        <v>249</v>
      </c>
      <c r="AB183" s="8">
        <v>233</v>
      </c>
      <c r="AC183" s="8">
        <v>243</v>
      </c>
    </row>
    <row r="184" spans="1:41">
      <c r="A184" s="7">
        <v>43305</v>
      </c>
      <c r="B184" s="8" t="s">
        <v>65</v>
      </c>
      <c r="C184" s="8">
        <v>0</v>
      </c>
      <c r="D184" s="8">
        <v>0</v>
      </c>
      <c r="E184" s="8">
        <v>0</v>
      </c>
      <c r="F184" s="8">
        <v>68</v>
      </c>
      <c r="G184" s="8">
        <v>136</v>
      </c>
      <c r="H184" s="8">
        <v>204</v>
      </c>
      <c r="I184" s="8">
        <v>120</v>
      </c>
      <c r="J184" s="8">
        <v>160</v>
      </c>
      <c r="K184" s="8">
        <v>120</v>
      </c>
      <c r="L184" s="8">
        <v>0</v>
      </c>
      <c r="M184" s="8">
        <v>0</v>
      </c>
      <c r="N184" s="8">
        <v>0</v>
      </c>
      <c r="O184" s="8">
        <v>180</v>
      </c>
      <c r="P184" s="8">
        <v>225</v>
      </c>
      <c r="Q184" s="8">
        <v>180</v>
      </c>
      <c r="R184" s="8">
        <v>429</v>
      </c>
      <c r="S184" s="8">
        <v>99</v>
      </c>
      <c r="T184" s="8">
        <v>561</v>
      </c>
      <c r="U184" s="8">
        <v>264</v>
      </c>
      <c r="V184" s="8">
        <v>0</v>
      </c>
      <c r="W184" s="8">
        <v>132</v>
      </c>
      <c r="X184" s="8">
        <v>120</v>
      </c>
      <c r="Y184" s="8">
        <v>160</v>
      </c>
      <c r="Z184" s="8">
        <v>600</v>
      </c>
      <c r="AA184" s="8">
        <v>0</v>
      </c>
      <c r="AB184" s="8">
        <v>0</v>
      </c>
      <c r="AC184" s="8">
        <v>0</v>
      </c>
    </row>
    <row r="185" spans="1:41">
      <c r="A185" s="7">
        <v>43305</v>
      </c>
      <c r="B185" s="8" t="s">
        <v>66</v>
      </c>
      <c r="C185" s="8">
        <v>0</v>
      </c>
      <c r="D185" s="8">
        <v>0</v>
      </c>
      <c r="E185" s="8">
        <v>0</v>
      </c>
      <c r="F185" s="8">
        <v>0</v>
      </c>
      <c r="G185" s="8">
        <v>0</v>
      </c>
      <c r="H185" s="8">
        <v>0</v>
      </c>
      <c r="I185" s="8">
        <v>0</v>
      </c>
      <c r="J185" s="8">
        <v>0</v>
      </c>
      <c r="K185" s="8">
        <v>0</v>
      </c>
      <c r="L185" s="8">
        <v>0</v>
      </c>
      <c r="M185" s="8">
        <v>0</v>
      </c>
      <c r="N185" s="8">
        <v>0</v>
      </c>
      <c r="O185" s="8">
        <v>0</v>
      </c>
      <c r="P185" s="8">
        <v>0</v>
      </c>
      <c r="Q185" s="8">
        <v>0</v>
      </c>
      <c r="R185" s="8">
        <v>0</v>
      </c>
      <c r="S185" s="8">
        <v>0</v>
      </c>
      <c r="T185" s="8">
        <v>0</v>
      </c>
      <c r="U185" s="8">
        <v>0</v>
      </c>
      <c r="V185" s="8">
        <v>0</v>
      </c>
      <c r="W185" s="8">
        <v>0</v>
      </c>
      <c r="X185" s="8">
        <v>0</v>
      </c>
      <c r="Y185" s="8">
        <v>0</v>
      </c>
      <c r="Z185" s="8">
        <v>0</v>
      </c>
      <c r="AA185" s="8">
        <v>0</v>
      </c>
      <c r="AB185" s="8">
        <v>0</v>
      </c>
      <c r="AC185" s="8">
        <v>0</v>
      </c>
      <c r="AJ185" s="8" t="e">
        <v>#N/A</v>
      </c>
      <c r="AK185" s="8" t="e">
        <v>#N/A</v>
      </c>
      <c r="AL185" s="8" t="e">
        <v>#N/A</v>
      </c>
      <c r="AM185" s="8" t="e">
        <v>#N/A</v>
      </c>
      <c r="AN185" s="8" t="e">
        <v>#N/A</v>
      </c>
      <c r="AO185" s="8" t="e">
        <v>#N/A</v>
      </c>
    </row>
    <row r="186" spans="1:41">
      <c r="A186" s="7">
        <v>43312</v>
      </c>
      <c r="B186" s="8" t="s">
        <v>64</v>
      </c>
      <c r="C186" s="8">
        <v>0</v>
      </c>
      <c r="D186" s="8">
        <v>0</v>
      </c>
      <c r="E186" s="8">
        <v>0</v>
      </c>
      <c r="F186" s="8">
        <v>230</v>
      </c>
      <c r="G186" s="8">
        <v>175</v>
      </c>
      <c r="H186" s="8">
        <v>224</v>
      </c>
      <c r="I186" s="8">
        <v>178</v>
      </c>
      <c r="J186" s="8">
        <v>240</v>
      </c>
      <c r="K186" s="8">
        <v>195</v>
      </c>
      <c r="L186" s="8">
        <v>151</v>
      </c>
      <c r="M186" s="8">
        <v>148</v>
      </c>
      <c r="N186" s="8">
        <v>145</v>
      </c>
      <c r="O186" s="8">
        <v>250</v>
      </c>
      <c r="P186" s="8">
        <v>495</v>
      </c>
      <c r="Q186" s="8">
        <v>225</v>
      </c>
      <c r="R186" s="8">
        <v>184</v>
      </c>
      <c r="S186" s="8">
        <v>109</v>
      </c>
      <c r="T186" s="8">
        <v>263</v>
      </c>
      <c r="U186" s="8">
        <v>180</v>
      </c>
      <c r="V186" s="8">
        <v>308</v>
      </c>
      <c r="W186" s="8">
        <v>295</v>
      </c>
      <c r="X186" s="8">
        <v>529</v>
      </c>
      <c r="Y186" s="8">
        <v>318</v>
      </c>
      <c r="Z186" s="8">
        <v>1179</v>
      </c>
      <c r="AA186" s="8">
        <v>244</v>
      </c>
      <c r="AB186" s="8">
        <v>227</v>
      </c>
      <c r="AC186" s="8">
        <v>235</v>
      </c>
    </row>
    <row r="187" spans="1:41">
      <c r="A187" s="7">
        <v>43312</v>
      </c>
      <c r="B187" s="8" t="s">
        <v>65</v>
      </c>
      <c r="C187" s="8">
        <v>0</v>
      </c>
      <c r="D187" s="8">
        <v>0</v>
      </c>
      <c r="E187" s="8">
        <v>0</v>
      </c>
      <c r="F187" s="8">
        <v>68</v>
      </c>
      <c r="G187" s="8">
        <v>136</v>
      </c>
      <c r="H187" s="8">
        <v>204</v>
      </c>
      <c r="I187" s="8">
        <v>0</v>
      </c>
      <c r="J187" s="8">
        <v>0</v>
      </c>
      <c r="K187" s="8">
        <v>0</v>
      </c>
      <c r="L187" s="8">
        <v>0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264</v>
      </c>
      <c r="S187" s="8">
        <v>0</v>
      </c>
      <c r="T187" s="8">
        <v>352</v>
      </c>
      <c r="U187" s="8">
        <v>0</v>
      </c>
      <c r="V187" s="8">
        <v>3</v>
      </c>
      <c r="W187" s="8">
        <v>0</v>
      </c>
      <c r="X187" s="8">
        <v>33</v>
      </c>
      <c r="Y187" s="8">
        <v>0</v>
      </c>
      <c r="Z187" s="8">
        <v>0</v>
      </c>
      <c r="AA187" s="8">
        <v>0</v>
      </c>
      <c r="AB187" s="8">
        <v>0</v>
      </c>
      <c r="AC187" s="8">
        <v>0</v>
      </c>
    </row>
    <row r="188" spans="1:41">
      <c r="A188" s="7">
        <v>43312</v>
      </c>
      <c r="B188" s="8" t="s">
        <v>66</v>
      </c>
      <c r="C188" s="8">
        <v>0</v>
      </c>
      <c r="D188" s="8">
        <v>0</v>
      </c>
      <c r="E188" s="8">
        <v>0</v>
      </c>
      <c r="F188" s="8">
        <v>0</v>
      </c>
      <c r="G188" s="8">
        <v>0</v>
      </c>
      <c r="H188" s="8">
        <v>0</v>
      </c>
      <c r="I188" s="8">
        <v>0</v>
      </c>
      <c r="J188" s="8">
        <v>0</v>
      </c>
      <c r="K188" s="8">
        <v>0</v>
      </c>
      <c r="L188" s="8">
        <v>0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8">
        <v>0</v>
      </c>
      <c r="V188" s="8">
        <v>0</v>
      </c>
      <c r="W188" s="8">
        <v>0</v>
      </c>
      <c r="X188" s="8">
        <v>0</v>
      </c>
      <c r="Y188" s="8">
        <v>0</v>
      </c>
      <c r="Z188" s="8">
        <v>0</v>
      </c>
      <c r="AA188" s="8">
        <v>0</v>
      </c>
      <c r="AB188" s="8">
        <v>0</v>
      </c>
      <c r="AC188" s="8">
        <v>0</v>
      </c>
      <c r="AJ188" s="8" t="e">
        <v>#N/A</v>
      </c>
      <c r="AK188" s="8" t="e">
        <v>#N/A</v>
      </c>
      <c r="AL188" s="8" t="e">
        <v>#N/A</v>
      </c>
      <c r="AM188" s="8" t="e">
        <v>#N/A</v>
      </c>
      <c r="AN188" s="8" t="e">
        <v>#N/A</v>
      </c>
      <c r="AO188" s="8" t="e">
        <v>#N/A</v>
      </c>
    </row>
    <row r="189" spans="1:41">
      <c r="A189" s="7">
        <v>43318</v>
      </c>
      <c r="B189" s="8" t="s">
        <v>64</v>
      </c>
      <c r="C189" s="8">
        <v>5916</v>
      </c>
      <c r="D189" s="8">
        <v>5950</v>
      </c>
      <c r="E189" s="8">
        <v>4386</v>
      </c>
      <c r="F189" s="8">
        <v>215</v>
      </c>
      <c r="G189" s="8">
        <v>242</v>
      </c>
      <c r="H189" s="8">
        <v>150</v>
      </c>
      <c r="I189" s="8">
        <v>178</v>
      </c>
      <c r="J189" s="8">
        <v>240</v>
      </c>
      <c r="K189" s="8">
        <v>197</v>
      </c>
      <c r="L189" s="8">
        <v>151</v>
      </c>
      <c r="M189" s="8">
        <v>148</v>
      </c>
      <c r="N189" s="8">
        <v>145</v>
      </c>
      <c r="O189" s="8">
        <v>212</v>
      </c>
      <c r="P189" s="8">
        <v>347</v>
      </c>
      <c r="Q189" s="8">
        <v>167</v>
      </c>
      <c r="R189" s="8">
        <v>435</v>
      </c>
      <c r="S189" s="8">
        <v>80</v>
      </c>
      <c r="T189" s="8">
        <v>193</v>
      </c>
      <c r="U189" s="8">
        <v>189</v>
      </c>
      <c r="V189" s="8">
        <v>306</v>
      </c>
      <c r="W189" s="8">
        <v>321</v>
      </c>
      <c r="X189" s="8">
        <v>529</v>
      </c>
      <c r="Y189" s="8">
        <v>313</v>
      </c>
      <c r="Z189" s="8">
        <v>1179</v>
      </c>
      <c r="AA189" s="8">
        <v>244</v>
      </c>
      <c r="AB189" s="8">
        <v>227</v>
      </c>
      <c r="AC189" s="8">
        <v>231</v>
      </c>
    </row>
    <row r="190" spans="1:41">
      <c r="A190" s="7">
        <v>43318</v>
      </c>
      <c r="B190" s="8" t="s">
        <v>65</v>
      </c>
      <c r="C190" s="8">
        <v>2380</v>
      </c>
      <c r="D190" s="8">
        <v>2312</v>
      </c>
      <c r="E190" s="8">
        <v>1428</v>
      </c>
      <c r="F190" s="8">
        <v>68</v>
      </c>
      <c r="G190" s="8">
        <v>136</v>
      </c>
      <c r="H190" s="8">
        <v>204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8">
        <v>0</v>
      </c>
      <c r="V190" s="8">
        <v>3</v>
      </c>
      <c r="W190" s="8">
        <v>0</v>
      </c>
      <c r="X190" s="8">
        <v>0</v>
      </c>
      <c r="Y190" s="8">
        <v>0</v>
      </c>
      <c r="Z190" s="8">
        <v>0</v>
      </c>
      <c r="AA190" s="8">
        <v>0</v>
      </c>
      <c r="AB190" s="8">
        <v>0</v>
      </c>
      <c r="AC190" s="8">
        <v>0</v>
      </c>
    </row>
    <row r="191" spans="1:41">
      <c r="A191" s="7">
        <v>43318</v>
      </c>
      <c r="B191" s="8" t="s">
        <v>66</v>
      </c>
      <c r="C191" s="8">
        <v>0</v>
      </c>
      <c r="D191" s="8">
        <v>0</v>
      </c>
      <c r="E191" s="8">
        <v>102</v>
      </c>
      <c r="F191" s="8">
        <v>102</v>
      </c>
      <c r="G191" s="8">
        <v>0</v>
      </c>
      <c r="H191" s="8">
        <v>238</v>
      </c>
      <c r="I191" s="8">
        <v>0</v>
      </c>
      <c r="J191" s="8">
        <v>0</v>
      </c>
      <c r="K191" s="8">
        <v>0</v>
      </c>
      <c r="L191" s="8">
        <v>0</v>
      </c>
      <c r="M191" s="8">
        <v>0</v>
      </c>
      <c r="N191" s="8">
        <v>0</v>
      </c>
      <c r="O191" s="8">
        <v>135</v>
      </c>
      <c r="P191" s="8">
        <v>135</v>
      </c>
      <c r="Q191" s="8">
        <v>315</v>
      </c>
      <c r="R191" s="8">
        <v>0</v>
      </c>
      <c r="S191" s="8">
        <v>165</v>
      </c>
      <c r="T191" s="8">
        <v>231</v>
      </c>
      <c r="U191" s="8">
        <v>66</v>
      </c>
      <c r="V191" s="8">
        <v>0</v>
      </c>
      <c r="W191" s="8">
        <v>99</v>
      </c>
      <c r="X191" s="8">
        <v>0</v>
      </c>
      <c r="Y191" s="8">
        <v>0</v>
      </c>
      <c r="Z191" s="8">
        <v>0</v>
      </c>
      <c r="AA191" s="8">
        <v>0</v>
      </c>
      <c r="AB191" s="8">
        <v>0</v>
      </c>
      <c r="AC191" s="8">
        <v>0</v>
      </c>
      <c r="AJ191" s="8" t="e">
        <v>#N/A</v>
      </c>
      <c r="AK191" s="8" t="e">
        <v>#N/A</v>
      </c>
      <c r="AL191" s="8" t="e">
        <v>#N/A</v>
      </c>
      <c r="AM191" s="8" t="e">
        <v>#N/A</v>
      </c>
      <c r="AN191" s="8" t="e">
        <v>#N/A</v>
      </c>
      <c r="AO191" s="8" t="e">
        <v>#N/A</v>
      </c>
    </row>
    <row r="192" spans="1:41">
      <c r="A192" s="7">
        <v>43325</v>
      </c>
      <c r="B192" s="8" t="s">
        <v>64</v>
      </c>
      <c r="C192" s="8">
        <v>5542</v>
      </c>
      <c r="D192" s="8">
        <v>6970</v>
      </c>
      <c r="E192" s="8">
        <v>4012</v>
      </c>
      <c r="F192" s="8">
        <v>262</v>
      </c>
      <c r="G192" s="8">
        <v>287</v>
      </c>
      <c r="H192" s="8">
        <v>287</v>
      </c>
      <c r="I192" s="8">
        <v>175</v>
      </c>
      <c r="J192" s="8">
        <v>228</v>
      </c>
      <c r="K192" s="8">
        <v>180</v>
      </c>
      <c r="L192" s="8">
        <v>151</v>
      </c>
      <c r="M192" s="8">
        <v>150</v>
      </c>
      <c r="N192" s="8">
        <v>142</v>
      </c>
      <c r="O192" s="8">
        <v>155</v>
      </c>
      <c r="P192" s="8">
        <v>290</v>
      </c>
      <c r="Q192" s="8">
        <v>95</v>
      </c>
      <c r="R192" s="8">
        <v>412</v>
      </c>
      <c r="S192" s="8">
        <v>62</v>
      </c>
      <c r="T192" s="8">
        <v>519</v>
      </c>
      <c r="U192" s="8">
        <v>188</v>
      </c>
      <c r="V192" s="8">
        <v>301</v>
      </c>
      <c r="W192" s="8">
        <v>310</v>
      </c>
      <c r="X192" s="8">
        <v>513</v>
      </c>
      <c r="Y192" s="8">
        <v>307</v>
      </c>
      <c r="Z192" s="8">
        <v>973</v>
      </c>
      <c r="AA192" s="8">
        <v>242</v>
      </c>
      <c r="AB192" s="8">
        <v>224</v>
      </c>
      <c r="AC192" s="8">
        <v>231</v>
      </c>
    </row>
    <row r="193" spans="1:41">
      <c r="A193" s="7">
        <v>43325</v>
      </c>
      <c r="B193" s="8" t="s">
        <v>65</v>
      </c>
      <c r="C193" s="8">
        <v>2856</v>
      </c>
      <c r="D193" s="8">
        <v>2312</v>
      </c>
      <c r="E193" s="8">
        <v>2244</v>
      </c>
      <c r="F193" s="8">
        <v>102</v>
      </c>
      <c r="G193" s="8">
        <v>0</v>
      </c>
      <c r="H193" s="8">
        <v>238</v>
      </c>
      <c r="I193" s="8">
        <v>0</v>
      </c>
      <c r="J193" s="8">
        <v>0</v>
      </c>
      <c r="K193" s="8">
        <v>0</v>
      </c>
      <c r="L193" s="8">
        <v>0</v>
      </c>
      <c r="M193" s="8">
        <v>0</v>
      </c>
      <c r="N193" s="8">
        <v>0</v>
      </c>
      <c r="O193" s="8">
        <v>135</v>
      </c>
      <c r="P193" s="8">
        <v>135</v>
      </c>
      <c r="Q193" s="8">
        <v>315</v>
      </c>
      <c r="R193" s="8">
        <v>0</v>
      </c>
      <c r="S193" s="8">
        <v>165</v>
      </c>
      <c r="T193" s="8">
        <v>220</v>
      </c>
      <c r="U193" s="8">
        <v>66</v>
      </c>
      <c r="V193" s="8">
        <v>0</v>
      </c>
      <c r="W193" s="8">
        <v>99</v>
      </c>
      <c r="X193" s="8">
        <v>0</v>
      </c>
      <c r="Y193" s="8">
        <v>0</v>
      </c>
      <c r="Z193" s="8">
        <v>0</v>
      </c>
      <c r="AA193" s="8">
        <v>0</v>
      </c>
      <c r="AB193" s="8">
        <v>0</v>
      </c>
      <c r="AC193" s="8">
        <v>0</v>
      </c>
    </row>
    <row r="194" spans="1:41">
      <c r="A194" s="7">
        <v>43325</v>
      </c>
      <c r="B194" s="8" t="s">
        <v>66</v>
      </c>
      <c r="C194" s="8">
        <v>0</v>
      </c>
      <c r="D194" s="8">
        <v>0</v>
      </c>
      <c r="E194" s="8">
        <v>0</v>
      </c>
      <c r="F194" s="8">
        <v>0</v>
      </c>
      <c r="G194" s="8">
        <v>0</v>
      </c>
      <c r="H194" s="8">
        <v>0</v>
      </c>
      <c r="I194" s="8">
        <v>0</v>
      </c>
      <c r="J194" s="8">
        <v>0</v>
      </c>
      <c r="K194" s="8">
        <v>0</v>
      </c>
      <c r="L194" s="8">
        <v>0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8">
        <v>0</v>
      </c>
      <c r="V194" s="8">
        <v>0</v>
      </c>
      <c r="W194" s="8">
        <v>0</v>
      </c>
      <c r="X194" s="8">
        <v>0</v>
      </c>
      <c r="Y194" s="8">
        <v>0</v>
      </c>
      <c r="Z194" s="8">
        <v>0</v>
      </c>
      <c r="AA194" s="8">
        <v>0</v>
      </c>
      <c r="AB194" s="8">
        <v>0</v>
      </c>
      <c r="AC194" s="8">
        <v>0</v>
      </c>
      <c r="AJ194" s="8" t="e">
        <v>#N/A</v>
      </c>
      <c r="AK194" s="8" t="e">
        <v>#N/A</v>
      </c>
      <c r="AL194" s="8" t="e">
        <v>#N/A</v>
      </c>
      <c r="AM194" s="8" t="e">
        <v>#N/A</v>
      </c>
      <c r="AN194" s="8" t="e">
        <v>#N/A</v>
      </c>
      <c r="AO194" s="8" t="e">
        <v>#N/A</v>
      </c>
    </row>
    <row r="195" spans="1:41">
      <c r="A195" s="7">
        <v>43332</v>
      </c>
      <c r="B195" s="8" t="s">
        <v>64</v>
      </c>
      <c r="C195" s="8">
        <v>5338</v>
      </c>
      <c r="D195" s="8">
        <v>7208</v>
      </c>
      <c r="E195" s="8">
        <v>4080</v>
      </c>
      <c r="F195" s="8">
        <v>312</v>
      </c>
      <c r="G195" s="8">
        <v>350</v>
      </c>
      <c r="H195" s="8">
        <v>469</v>
      </c>
      <c r="I195" s="8">
        <v>175</v>
      </c>
      <c r="J195" s="8">
        <v>228</v>
      </c>
      <c r="K195" s="8">
        <v>180</v>
      </c>
      <c r="L195" s="8">
        <v>151</v>
      </c>
      <c r="M195" s="8">
        <v>150</v>
      </c>
      <c r="N195" s="8">
        <v>142</v>
      </c>
      <c r="O195" s="8">
        <v>100</v>
      </c>
      <c r="P195" s="8">
        <v>210</v>
      </c>
      <c r="Q195" s="8">
        <v>35</v>
      </c>
      <c r="R195" s="8">
        <v>234</v>
      </c>
      <c r="S195" s="8">
        <v>223</v>
      </c>
      <c r="T195" s="8">
        <v>708</v>
      </c>
      <c r="U195" s="8">
        <v>252</v>
      </c>
      <c r="V195" s="8">
        <v>298</v>
      </c>
      <c r="W195" s="8">
        <v>393</v>
      </c>
      <c r="X195" s="8">
        <v>501</v>
      </c>
      <c r="Y195" s="8">
        <v>303</v>
      </c>
      <c r="Z195" s="8">
        <v>844</v>
      </c>
      <c r="AA195" s="8">
        <v>242</v>
      </c>
      <c r="AB195" s="8">
        <v>223</v>
      </c>
      <c r="AC195" s="8">
        <v>229</v>
      </c>
    </row>
    <row r="196" spans="1:41">
      <c r="A196" s="7">
        <v>43332</v>
      </c>
      <c r="B196" s="8" t="s">
        <v>65</v>
      </c>
      <c r="C196" s="8">
        <v>3808</v>
      </c>
      <c r="D196" s="8">
        <v>2312</v>
      </c>
      <c r="E196" s="8">
        <v>1428</v>
      </c>
      <c r="F196" s="8">
        <v>0</v>
      </c>
      <c r="G196" s="8">
        <v>0</v>
      </c>
      <c r="H196" s="8">
        <v>0</v>
      </c>
      <c r="I196" s="8">
        <v>0</v>
      </c>
      <c r="J196" s="8">
        <v>0</v>
      </c>
      <c r="K196" s="8">
        <v>0</v>
      </c>
      <c r="L196" s="8">
        <v>0</v>
      </c>
      <c r="M196" s="8">
        <v>0</v>
      </c>
      <c r="N196" s="8">
        <v>0</v>
      </c>
      <c r="O196" s="8">
        <v>135</v>
      </c>
      <c r="P196" s="8">
        <v>135</v>
      </c>
      <c r="Q196" s="8">
        <v>315</v>
      </c>
      <c r="R196" s="8">
        <v>0</v>
      </c>
      <c r="S196" s="8">
        <v>0</v>
      </c>
      <c r="T196" s="8">
        <v>0</v>
      </c>
      <c r="U196" s="8">
        <v>0</v>
      </c>
      <c r="V196" s="8">
        <v>0</v>
      </c>
      <c r="W196" s="8">
        <v>0</v>
      </c>
      <c r="X196" s="8">
        <v>0</v>
      </c>
      <c r="Y196" s="8">
        <v>0</v>
      </c>
      <c r="Z196" s="8">
        <v>0</v>
      </c>
      <c r="AA196" s="8">
        <v>0</v>
      </c>
      <c r="AB196" s="8">
        <v>0</v>
      </c>
      <c r="AC196" s="8">
        <v>0</v>
      </c>
    </row>
    <row r="197" spans="1:41">
      <c r="A197" s="7">
        <v>43332</v>
      </c>
      <c r="B197" s="8" t="s">
        <v>66</v>
      </c>
      <c r="C197" s="8">
        <v>0</v>
      </c>
      <c r="D197" s="8">
        <v>0</v>
      </c>
      <c r="E197" s="8">
        <v>0</v>
      </c>
      <c r="F197" s="8">
        <v>0</v>
      </c>
      <c r="G197" s="8">
        <v>0</v>
      </c>
      <c r="H197" s="8">
        <v>0</v>
      </c>
      <c r="I197" s="8">
        <v>0</v>
      </c>
      <c r="J197" s="8">
        <v>0</v>
      </c>
      <c r="K197" s="8">
        <v>0</v>
      </c>
      <c r="L197" s="8">
        <v>0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8">
        <v>0</v>
      </c>
      <c r="V197" s="8">
        <v>0</v>
      </c>
      <c r="W197" s="8">
        <v>0</v>
      </c>
      <c r="X197" s="8">
        <v>0</v>
      </c>
      <c r="Y197" s="8">
        <v>0</v>
      </c>
      <c r="Z197" s="8">
        <v>0</v>
      </c>
      <c r="AA197" s="8">
        <v>0</v>
      </c>
      <c r="AB197" s="8">
        <v>0</v>
      </c>
      <c r="AC197" s="8">
        <v>0</v>
      </c>
      <c r="AJ197" s="8" t="e">
        <v>#N/A</v>
      </c>
      <c r="AK197" s="8" t="e">
        <v>#N/A</v>
      </c>
      <c r="AL197" s="8" t="e">
        <v>#N/A</v>
      </c>
      <c r="AM197" s="8" t="e">
        <v>#N/A</v>
      </c>
      <c r="AN197" s="8" t="e">
        <v>#N/A</v>
      </c>
      <c r="AO197" s="8" t="e">
        <v>#N/A</v>
      </c>
    </row>
    <row r="198" spans="1:41">
      <c r="A198" s="7">
        <v>43339</v>
      </c>
      <c r="B198" s="8" t="s">
        <v>64</v>
      </c>
      <c r="C198" s="8">
        <v>5848</v>
      </c>
      <c r="D198" s="8">
        <v>7650</v>
      </c>
      <c r="E198" s="8">
        <v>5134</v>
      </c>
      <c r="F198" s="8">
        <v>301</v>
      </c>
      <c r="G198" s="8">
        <v>318</v>
      </c>
      <c r="H198" s="8">
        <v>441</v>
      </c>
      <c r="I198" s="8">
        <v>175</v>
      </c>
      <c r="J198" s="8">
        <v>228</v>
      </c>
      <c r="K198" s="8">
        <v>180</v>
      </c>
      <c r="L198" s="8">
        <v>151</v>
      </c>
      <c r="M198" s="8">
        <v>150</v>
      </c>
      <c r="N198" s="8">
        <v>142</v>
      </c>
      <c r="O198" s="8">
        <v>180</v>
      </c>
      <c r="P198" s="8">
        <v>285</v>
      </c>
      <c r="Q198" s="8">
        <v>285</v>
      </c>
      <c r="R198" s="8">
        <v>217</v>
      </c>
      <c r="S198" s="8">
        <v>209</v>
      </c>
      <c r="T198" s="8">
        <v>513</v>
      </c>
      <c r="U198" s="8">
        <v>250</v>
      </c>
      <c r="V198" s="8">
        <v>296</v>
      </c>
      <c r="W198" s="8">
        <v>386</v>
      </c>
      <c r="X198" s="8">
        <v>498</v>
      </c>
      <c r="Y198" s="8">
        <v>258</v>
      </c>
      <c r="Z198" s="8">
        <v>1160</v>
      </c>
      <c r="AA198" s="8">
        <v>242</v>
      </c>
      <c r="AB198" s="8">
        <v>223</v>
      </c>
      <c r="AC198" s="8">
        <v>240</v>
      </c>
    </row>
    <row r="199" spans="1:41">
      <c r="A199" s="7">
        <v>43339</v>
      </c>
      <c r="B199" s="8" t="s">
        <v>65</v>
      </c>
      <c r="C199" s="8">
        <v>3332</v>
      </c>
      <c r="D199" s="8">
        <v>2312</v>
      </c>
      <c r="E199" s="8">
        <v>1428</v>
      </c>
      <c r="F199" s="8">
        <v>0</v>
      </c>
      <c r="G199" s="8">
        <v>0</v>
      </c>
      <c r="H199" s="8">
        <v>0</v>
      </c>
      <c r="I199" s="8">
        <v>0</v>
      </c>
      <c r="J199" s="8">
        <v>0</v>
      </c>
      <c r="K199" s="8">
        <v>0</v>
      </c>
      <c r="L199" s="8"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0</v>
      </c>
      <c r="Z199" s="8">
        <v>0</v>
      </c>
      <c r="AA199" s="8">
        <v>0</v>
      </c>
      <c r="AB199" s="8">
        <v>0</v>
      </c>
      <c r="AC199" s="8">
        <v>0</v>
      </c>
    </row>
    <row r="200" spans="1:41">
      <c r="A200" s="7">
        <v>43339</v>
      </c>
      <c r="B200" s="8" t="s">
        <v>66</v>
      </c>
      <c r="C200" s="8">
        <v>0</v>
      </c>
      <c r="D200" s="8">
        <v>0</v>
      </c>
      <c r="E200" s="8">
        <v>0</v>
      </c>
      <c r="F200" s="8">
        <v>0</v>
      </c>
      <c r="G200" s="8">
        <v>0</v>
      </c>
      <c r="H200" s="8">
        <v>0</v>
      </c>
      <c r="I200" s="8">
        <v>0</v>
      </c>
      <c r="J200" s="8">
        <v>0</v>
      </c>
      <c r="K200" s="8">
        <v>0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8">
        <v>0</v>
      </c>
      <c r="V200" s="8">
        <v>0</v>
      </c>
      <c r="W200" s="8">
        <v>0</v>
      </c>
      <c r="X200" s="8">
        <v>0</v>
      </c>
      <c r="Y200" s="8">
        <v>0</v>
      </c>
      <c r="Z200" s="8">
        <v>0</v>
      </c>
      <c r="AA200" s="8">
        <v>0</v>
      </c>
      <c r="AB200" s="8">
        <v>0</v>
      </c>
      <c r="AC200" s="8">
        <v>0</v>
      </c>
      <c r="AJ200" s="8" t="e">
        <v>#N/A</v>
      </c>
      <c r="AK200" s="8" t="e">
        <v>#N/A</v>
      </c>
      <c r="AL200" s="8" t="e">
        <v>#N/A</v>
      </c>
      <c r="AM200" s="8" t="e">
        <v>#N/A</v>
      </c>
      <c r="AN200" s="8" t="e">
        <v>#N/A</v>
      </c>
      <c r="AO200" s="8" t="e">
        <v>#N/A</v>
      </c>
    </row>
    <row r="201" spans="1:41">
      <c r="A201" s="7">
        <v>43347</v>
      </c>
      <c r="B201" s="8" t="s">
        <v>64</v>
      </c>
      <c r="C201" s="8">
        <v>5984</v>
      </c>
      <c r="D201" s="8">
        <v>6732</v>
      </c>
      <c r="E201" s="8">
        <v>4590</v>
      </c>
      <c r="F201" s="8">
        <v>259</v>
      </c>
      <c r="G201" s="8">
        <v>238</v>
      </c>
      <c r="H201" s="8">
        <v>303</v>
      </c>
      <c r="I201" s="8">
        <v>174</v>
      </c>
      <c r="J201" s="8">
        <v>227</v>
      </c>
      <c r="K201" s="8">
        <v>179</v>
      </c>
      <c r="L201" s="8">
        <v>151</v>
      </c>
      <c r="M201" s="8">
        <v>150</v>
      </c>
      <c r="N201" s="8">
        <v>142</v>
      </c>
      <c r="O201" s="8">
        <v>135</v>
      </c>
      <c r="P201" s="8">
        <v>235</v>
      </c>
      <c r="Q201" s="8">
        <v>225</v>
      </c>
      <c r="R201" s="8">
        <v>211</v>
      </c>
      <c r="S201" s="8">
        <v>208</v>
      </c>
      <c r="T201" s="8">
        <v>481</v>
      </c>
      <c r="U201" s="8">
        <v>249</v>
      </c>
      <c r="V201" s="8">
        <v>296</v>
      </c>
      <c r="W201" s="8">
        <v>360</v>
      </c>
      <c r="X201" s="8">
        <v>293</v>
      </c>
      <c r="Y201" s="8">
        <v>255</v>
      </c>
      <c r="Z201" s="8">
        <v>1155</v>
      </c>
      <c r="AA201" s="8">
        <v>238</v>
      </c>
      <c r="AB201" s="8">
        <v>219</v>
      </c>
      <c r="AC201" s="8">
        <v>236</v>
      </c>
    </row>
    <row r="202" spans="1:41">
      <c r="A202" s="7">
        <v>43347</v>
      </c>
      <c r="B202" s="8" t="s">
        <v>65</v>
      </c>
      <c r="C202" s="8">
        <v>2380</v>
      </c>
      <c r="D202" s="8">
        <v>2312</v>
      </c>
      <c r="E202" s="8">
        <v>2142</v>
      </c>
      <c r="F202" s="8">
        <v>0</v>
      </c>
      <c r="G202" s="8">
        <v>0</v>
      </c>
      <c r="H202" s="8">
        <v>0</v>
      </c>
      <c r="I202" s="8">
        <v>0</v>
      </c>
      <c r="J202" s="8">
        <v>0</v>
      </c>
      <c r="K202" s="8">
        <v>0</v>
      </c>
      <c r="L202" s="8"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8">
        <v>0</v>
      </c>
      <c r="V202" s="8">
        <v>0</v>
      </c>
      <c r="W202" s="8">
        <v>0</v>
      </c>
      <c r="X202" s="8">
        <v>0</v>
      </c>
      <c r="Y202" s="8">
        <v>0</v>
      </c>
      <c r="Z202" s="8">
        <v>0</v>
      </c>
      <c r="AA202" s="8">
        <v>0</v>
      </c>
      <c r="AB202" s="8">
        <v>0</v>
      </c>
      <c r="AC202" s="8">
        <v>0</v>
      </c>
    </row>
    <row r="203" spans="1:41">
      <c r="A203" s="7">
        <v>43347</v>
      </c>
      <c r="B203" s="8" t="s">
        <v>66</v>
      </c>
      <c r="C203" s="8">
        <v>0</v>
      </c>
      <c r="D203" s="8">
        <v>0</v>
      </c>
      <c r="E203" s="8">
        <v>0</v>
      </c>
      <c r="F203" s="8">
        <v>0</v>
      </c>
      <c r="G203" s="8">
        <v>0</v>
      </c>
      <c r="H203" s="8">
        <v>0</v>
      </c>
      <c r="I203" s="8">
        <v>0</v>
      </c>
      <c r="J203" s="8">
        <v>0</v>
      </c>
      <c r="K203" s="8">
        <v>0</v>
      </c>
      <c r="L203" s="8">
        <v>0</v>
      </c>
      <c r="M203" s="8">
        <v>0</v>
      </c>
      <c r="N203" s="8">
        <v>0</v>
      </c>
      <c r="O203" s="8">
        <v>225</v>
      </c>
      <c r="P203" s="8">
        <v>180</v>
      </c>
      <c r="Q203" s="8">
        <v>180</v>
      </c>
      <c r="R203" s="8">
        <v>0</v>
      </c>
      <c r="S203" s="8">
        <v>0</v>
      </c>
      <c r="T203" s="8">
        <v>0</v>
      </c>
      <c r="U203" s="8">
        <v>0</v>
      </c>
      <c r="V203" s="8">
        <v>0</v>
      </c>
      <c r="W203" s="8">
        <v>0</v>
      </c>
      <c r="X203" s="8">
        <v>460</v>
      </c>
      <c r="Y203" s="8">
        <v>220</v>
      </c>
      <c r="Z203" s="8">
        <v>0</v>
      </c>
      <c r="AA203" s="8">
        <v>0</v>
      </c>
      <c r="AB203" s="8">
        <v>0</v>
      </c>
      <c r="AC203" s="8">
        <v>0</v>
      </c>
      <c r="AJ203" s="8" t="e">
        <v>#N/A</v>
      </c>
      <c r="AK203" s="8" t="e">
        <v>#N/A</v>
      </c>
      <c r="AL203" s="8" t="e">
        <v>#N/A</v>
      </c>
      <c r="AM203" s="8" t="e">
        <v>#N/A</v>
      </c>
      <c r="AN203" s="8" t="e">
        <v>#N/A</v>
      </c>
      <c r="AO203" s="8" t="e">
        <v>#N/A</v>
      </c>
    </row>
    <row r="204" spans="1:41">
      <c r="A204" s="7">
        <v>43360</v>
      </c>
      <c r="B204" s="8" t="s">
        <v>64</v>
      </c>
      <c r="C204" s="8">
        <v>4556</v>
      </c>
      <c r="D204" s="8">
        <v>2992</v>
      </c>
      <c r="E204" s="8">
        <v>2788</v>
      </c>
      <c r="F204" s="8">
        <v>196</v>
      </c>
      <c r="G204" s="8">
        <v>119</v>
      </c>
      <c r="H204" s="8">
        <v>165</v>
      </c>
      <c r="I204" s="8">
        <v>156</v>
      </c>
      <c r="J204" s="8">
        <v>217</v>
      </c>
      <c r="K204" s="8">
        <v>166</v>
      </c>
      <c r="L204" s="8">
        <v>151</v>
      </c>
      <c r="M204" s="8">
        <v>143</v>
      </c>
      <c r="N204" s="8">
        <v>142</v>
      </c>
      <c r="O204" s="8">
        <v>60</v>
      </c>
      <c r="P204" s="8">
        <v>125</v>
      </c>
      <c r="Q204" s="8">
        <v>123</v>
      </c>
      <c r="R204" s="8">
        <v>347</v>
      </c>
      <c r="S204" s="8">
        <v>175</v>
      </c>
      <c r="T204" s="8">
        <v>345</v>
      </c>
      <c r="U204" s="8">
        <v>248</v>
      </c>
      <c r="V204" s="8">
        <v>298</v>
      </c>
      <c r="W204" s="8">
        <v>358</v>
      </c>
      <c r="X204" s="8">
        <v>478</v>
      </c>
      <c r="Y204" s="8">
        <v>271</v>
      </c>
      <c r="Z204" s="8">
        <v>1135</v>
      </c>
      <c r="AA204" s="8">
        <v>228</v>
      </c>
      <c r="AB204" s="8">
        <v>221</v>
      </c>
      <c r="AC204" s="8">
        <v>221</v>
      </c>
    </row>
    <row r="205" spans="1:41">
      <c r="A205" s="7">
        <v>43360</v>
      </c>
      <c r="B205" s="8" t="s">
        <v>65</v>
      </c>
      <c r="C205" s="8">
        <v>1428</v>
      </c>
      <c r="D205" s="8">
        <v>1734</v>
      </c>
      <c r="E205" s="8">
        <v>2142</v>
      </c>
      <c r="F205" s="8">
        <v>0</v>
      </c>
      <c r="G205" s="8">
        <v>0</v>
      </c>
      <c r="H205" s="8">
        <v>0</v>
      </c>
      <c r="I205" s="8">
        <v>0</v>
      </c>
      <c r="J205" s="8">
        <v>0</v>
      </c>
      <c r="K205" s="8">
        <v>0</v>
      </c>
      <c r="L205" s="8">
        <v>0</v>
      </c>
      <c r="M205" s="8">
        <v>0</v>
      </c>
      <c r="N205" s="8">
        <v>0</v>
      </c>
      <c r="O205" s="8">
        <v>180</v>
      </c>
      <c r="P205" s="8">
        <v>180</v>
      </c>
      <c r="Q205" s="8">
        <v>180</v>
      </c>
      <c r="R205" s="8">
        <v>0</v>
      </c>
      <c r="S205" s="8">
        <v>0</v>
      </c>
      <c r="T205" s="8">
        <v>0</v>
      </c>
      <c r="U205" s="8">
        <v>0</v>
      </c>
      <c r="V205" s="8">
        <v>0</v>
      </c>
      <c r="W205" s="8">
        <v>0</v>
      </c>
      <c r="X205" s="8">
        <v>460</v>
      </c>
      <c r="Y205" s="8">
        <v>220</v>
      </c>
      <c r="Z205" s="8">
        <v>0</v>
      </c>
      <c r="AA205" s="8">
        <v>0</v>
      </c>
      <c r="AB205" s="8">
        <v>0</v>
      </c>
      <c r="AC205" s="8">
        <v>0</v>
      </c>
    </row>
    <row r="206" spans="1:41">
      <c r="A206" s="7">
        <v>43360</v>
      </c>
      <c r="B206" s="8" t="s">
        <v>66</v>
      </c>
      <c r="C206" s="8">
        <v>3</v>
      </c>
      <c r="D206" s="8">
        <v>5</v>
      </c>
      <c r="E206" s="8">
        <v>2</v>
      </c>
      <c r="F206" s="8">
        <v>170</v>
      </c>
      <c r="G206" s="8">
        <v>238</v>
      </c>
      <c r="H206" s="8">
        <v>408</v>
      </c>
      <c r="I206" s="8">
        <v>0</v>
      </c>
      <c r="J206" s="8">
        <v>0</v>
      </c>
      <c r="K206" s="8">
        <v>0</v>
      </c>
      <c r="L206" s="8">
        <v>0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8">
        <v>0</v>
      </c>
      <c r="V206" s="8">
        <v>0</v>
      </c>
      <c r="W206" s="8">
        <v>0</v>
      </c>
      <c r="X206" s="8">
        <v>0</v>
      </c>
      <c r="Y206" s="8">
        <v>0</v>
      </c>
      <c r="Z206" s="8">
        <v>0</v>
      </c>
      <c r="AA206" s="8">
        <v>0</v>
      </c>
      <c r="AB206" s="8">
        <v>0</v>
      </c>
      <c r="AC206" s="8">
        <v>0</v>
      </c>
      <c r="AJ206" s="8" t="e">
        <v>#N/A</v>
      </c>
      <c r="AK206" s="8" t="e">
        <v>#N/A</v>
      </c>
      <c r="AL206" s="8" t="e">
        <v>#N/A</v>
      </c>
      <c r="AM206" s="8" t="e">
        <v>#N/A</v>
      </c>
      <c r="AN206" s="8" t="e">
        <v>#N/A</v>
      </c>
      <c r="AO206" s="8" t="e">
        <v>#N/A</v>
      </c>
    </row>
    <row r="207" spans="1:41">
      <c r="A207" s="7">
        <v>43367</v>
      </c>
      <c r="B207" s="8" t="s">
        <v>64</v>
      </c>
      <c r="C207" s="8">
        <v>4012</v>
      </c>
      <c r="D207" s="8">
        <v>4386</v>
      </c>
      <c r="E207" s="8">
        <v>2482</v>
      </c>
      <c r="F207" s="8">
        <v>142</v>
      </c>
      <c r="G207" s="8">
        <v>56</v>
      </c>
      <c r="H207" s="8">
        <v>64</v>
      </c>
      <c r="I207" s="8">
        <v>156</v>
      </c>
      <c r="J207" s="8">
        <v>217</v>
      </c>
      <c r="K207" s="8">
        <v>165</v>
      </c>
      <c r="L207" s="8">
        <v>151</v>
      </c>
      <c r="M207" s="8">
        <v>143</v>
      </c>
      <c r="N207" s="8">
        <v>142</v>
      </c>
      <c r="O207" s="8">
        <v>180</v>
      </c>
      <c r="P207" s="8">
        <v>214</v>
      </c>
      <c r="Q207" s="8">
        <v>210</v>
      </c>
      <c r="R207" s="8">
        <v>167</v>
      </c>
      <c r="S207" s="8">
        <v>161</v>
      </c>
      <c r="T207" s="8">
        <v>422</v>
      </c>
      <c r="U207" s="8">
        <v>247</v>
      </c>
      <c r="V207" s="8">
        <v>193</v>
      </c>
      <c r="W207" s="8">
        <v>347</v>
      </c>
      <c r="X207" s="8">
        <v>473</v>
      </c>
      <c r="Y207" s="8">
        <v>270</v>
      </c>
      <c r="Z207" s="8">
        <v>1133</v>
      </c>
      <c r="AA207" s="8">
        <v>228</v>
      </c>
      <c r="AB207" s="8">
        <v>221</v>
      </c>
      <c r="AC207" s="8">
        <v>221</v>
      </c>
    </row>
    <row r="208" spans="1:41">
      <c r="A208" s="7">
        <v>43367</v>
      </c>
      <c r="B208" s="8" t="s">
        <v>65</v>
      </c>
      <c r="C208" s="8">
        <v>1428</v>
      </c>
      <c r="D208" s="8">
        <v>2890</v>
      </c>
      <c r="E208" s="8">
        <v>714</v>
      </c>
      <c r="F208" s="8">
        <v>170</v>
      </c>
      <c r="G208" s="8">
        <v>238</v>
      </c>
      <c r="H208" s="8">
        <v>408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8">
        <v>0</v>
      </c>
      <c r="V208" s="8">
        <v>0</v>
      </c>
      <c r="W208" s="8">
        <v>0</v>
      </c>
      <c r="X208" s="8">
        <v>460</v>
      </c>
      <c r="Y208" s="8">
        <v>220</v>
      </c>
      <c r="Z208" s="8">
        <v>0</v>
      </c>
      <c r="AA208" s="8">
        <v>0</v>
      </c>
      <c r="AB208" s="8">
        <v>0</v>
      </c>
      <c r="AC208" s="8">
        <v>0</v>
      </c>
    </row>
    <row r="209" spans="1:41">
      <c r="A209" s="7">
        <v>43367</v>
      </c>
      <c r="B209" s="8" t="s">
        <v>66</v>
      </c>
      <c r="C209" s="8">
        <v>4</v>
      </c>
      <c r="D209" s="8">
        <v>3</v>
      </c>
      <c r="E209" s="8">
        <v>4</v>
      </c>
      <c r="F209" s="8">
        <v>102</v>
      </c>
      <c r="G209" s="8">
        <v>136</v>
      </c>
      <c r="H209" s="8">
        <v>136</v>
      </c>
      <c r="I209" s="8">
        <v>0</v>
      </c>
      <c r="J209" s="8">
        <v>0</v>
      </c>
      <c r="K209" s="8">
        <v>0</v>
      </c>
      <c r="L209" s="8">
        <v>0</v>
      </c>
      <c r="M209" s="8">
        <v>0</v>
      </c>
      <c r="N209" s="8">
        <v>0</v>
      </c>
      <c r="O209" s="8">
        <v>135</v>
      </c>
      <c r="P209" s="8">
        <v>225</v>
      </c>
      <c r="Q209" s="8">
        <v>225</v>
      </c>
      <c r="R209" s="8">
        <v>0</v>
      </c>
      <c r="S209" s="8">
        <v>0</v>
      </c>
      <c r="T209" s="8">
        <v>0</v>
      </c>
      <c r="U209" s="8">
        <v>0</v>
      </c>
      <c r="V209" s="8">
        <v>0</v>
      </c>
      <c r="W209" s="8">
        <v>0</v>
      </c>
      <c r="X209" s="8">
        <v>0</v>
      </c>
      <c r="Y209" s="8">
        <v>0</v>
      </c>
      <c r="Z209" s="8">
        <v>0</v>
      </c>
      <c r="AA209" s="8">
        <v>0</v>
      </c>
      <c r="AB209" s="8">
        <v>0</v>
      </c>
      <c r="AC209" s="8">
        <v>0</v>
      </c>
      <c r="AJ209" s="8" t="e">
        <v>#N/A</v>
      </c>
      <c r="AK209" s="8" t="e">
        <v>#N/A</v>
      </c>
      <c r="AL209" s="8" t="e">
        <v>#N/A</v>
      </c>
      <c r="AM209" s="8" t="e">
        <v>#N/A</v>
      </c>
      <c r="AN209" s="8" t="e">
        <v>#N/A</v>
      </c>
      <c r="AO209" s="8" t="e">
        <v>#N/A</v>
      </c>
    </row>
    <row r="500" spans="2:41" ht="15" thickBot="1">
      <c r="B500" s="13"/>
    </row>
    <row r="501" spans="2:41" ht="27" thickBot="1">
      <c r="B501" s="24" t="s">
        <v>68</v>
      </c>
      <c r="C501" s="24">
        <f>IFERROR(SUBTOTAL(1,C4:C500),"No values")</f>
        <v>2106.7475728155341</v>
      </c>
      <c r="D501" s="24">
        <f t="shared" ref="D501:J501" si="0">IFERROR(SUBTOTAL(1,D4:D500),"No values")</f>
        <v>2130.2135922330099</v>
      </c>
      <c r="E501" s="24">
        <f t="shared" si="0"/>
        <v>1961.3268292682926</v>
      </c>
      <c r="F501" s="24">
        <f t="shared" si="0"/>
        <v>135.09278350515464</v>
      </c>
      <c r="G501" s="24">
        <f t="shared" si="0"/>
        <v>132.03589743589743</v>
      </c>
      <c r="H501" s="24">
        <f t="shared" si="0"/>
        <v>196.22051282051282</v>
      </c>
      <c r="I501" s="24">
        <f t="shared" si="0"/>
        <v>61.020833333333336</v>
      </c>
      <c r="J501" s="24">
        <f t="shared" si="0"/>
        <v>69.354166666666671</v>
      </c>
      <c r="K501" s="24">
        <f t="shared" ref="K501:AC501" si="1">IFERROR(SUBTOTAL(1,K4:K500),"No values")</f>
        <v>67.441025641025647</v>
      </c>
      <c r="L501" s="24">
        <f t="shared" si="1"/>
        <v>58.523809523809526</v>
      </c>
      <c r="M501" s="24">
        <f t="shared" si="1"/>
        <v>44.624338624338627</v>
      </c>
      <c r="N501" s="24">
        <f t="shared" si="1"/>
        <v>62.693121693121697</v>
      </c>
      <c r="O501" s="24">
        <f t="shared" si="1"/>
        <v>124.48969072164948</v>
      </c>
      <c r="P501" s="24">
        <f t="shared" si="1"/>
        <v>144.83417085427135</v>
      </c>
      <c r="Q501" s="24">
        <f t="shared" si="1"/>
        <v>141.75757575757575</v>
      </c>
      <c r="R501" s="24">
        <f t="shared" si="1"/>
        <v>107.43229166666667</v>
      </c>
      <c r="S501" s="24">
        <f t="shared" si="1"/>
        <v>83.082474226804123</v>
      </c>
      <c r="T501" s="24">
        <f t="shared" si="1"/>
        <v>162.4742268041237</v>
      </c>
      <c r="U501" s="24">
        <f t="shared" si="1"/>
        <v>107.8941798941799</v>
      </c>
      <c r="V501" s="24">
        <f t="shared" si="1"/>
        <v>164.66137566137567</v>
      </c>
      <c r="W501" s="24">
        <f t="shared" si="1"/>
        <v>163.282722513089</v>
      </c>
      <c r="X501" s="24">
        <f t="shared" si="1"/>
        <v>215.24509803921569</v>
      </c>
      <c r="Y501" s="24">
        <f t="shared" si="1"/>
        <v>142.43627450980392</v>
      </c>
      <c r="Z501" s="24">
        <f t="shared" si="1"/>
        <v>280.05392156862746</v>
      </c>
      <c r="AA501" s="24">
        <f t="shared" si="1"/>
        <v>91.569230769230771</v>
      </c>
      <c r="AB501" s="24">
        <f t="shared" si="1"/>
        <v>77.815384615384616</v>
      </c>
      <c r="AC501" s="24">
        <f t="shared" si="1"/>
        <v>89.649746192893403</v>
      </c>
      <c r="AJ501" s="24" t="str">
        <f t="shared" ref="AJ501:AO501" si="2">IFERROR(SUBTOTAL(1,AJ4:AJ500),"No values")</f>
        <v>No values</v>
      </c>
      <c r="AK501" s="24" t="str">
        <f t="shared" si="2"/>
        <v>No values</v>
      </c>
      <c r="AL501" s="24" t="str">
        <f t="shared" si="2"/>
        <v>No values</v>
      </c>
      <c r="AM501" s="24" t="str">
        <f t="shared" si="2"/>
        <v>No values</v>
      </c>
      <c r="AN501" s="24" t="str">
        <f t="shared" si="2"/>
        <v>No values</v>
      </c>
      <c r="AO501" s="24" t="str">
        <f t="shared" si="2"/>
        <v>No values</v>
      </c>
    </row>
    <row r="505" spans="2:41">
      <c r="S505" s="20"/>
      <c r="U505" s="7"/>
    </row>
    <row r="506" spans="2:41">
      <c r="S506" s="20"/>
      <c r="U506" s="7"/>
    </row>
    <row r="507" spans="2:41">
      <c r="U507" s="7"/>
    </row>
    <row r="508" spans="2:41">
      <c r="U508" s="7"/>
    </row>
    <row r="509" spans="2:41">
      <c r="F509" s="8">
        <f>C60+714*4-C63</f>
        <v>2074</v>
      </c>
      <c r="U509" s="7"/>
    </row>
    <row r="510" spans="2:41">
      <c r="U510" s="7"/>
    </row>
    <row r="511" spans="2:41">
      <c r="U511" s="7"/>
    </row>
    <row r="513" spans="19:21">
      <c r="U513" s="7"/>
    </row>
    <row r="514" spans="19:21">
      <c r="U514" s="7"/>
    </row>
    <row r="515" spans="19:21">
      <c r="U515" s="7"/>
    </row>
    <row r="516" spans="19:21">
      <c r="U516" s="7"/>
    </row>
    <row r="517" spans="19:21">
      <c r="U517" s="7"/>
    </row>
    <row r="518" spans="19:21">
      <c r="U518" s="7"/>
    </row>
    <row r="519" spans="19:21">
      <c r="U519" s="7"/>
    </row>
    <row r="520" spans="19:21">
      <c r="U520" s="7"/>
    </row>
    <row r="521" spans="19:21">
      <c r="S521" s="23"/>
      <c r="U521" s="7"/>
    </row>
    <row r="522" spans="19:21">
      <c r="U522" s="7"/>
    </row>
    <row r="523" spans="19:21">
      <c r="U523" s="7"/>
    </row>
    <row r="524" spans="19:21">
      <c r="U524" s="7"/>
    </row>
  </sheetData>
  <protectedRanges>
    <protectedRange password="C482" sqref="S505 C4:AC5 AJ4:AO5" name="Edit range_2"/>
    <protectedRange password="C482" sqref="S506 C6:AC7 AJ6:AO7" name="Edit range_3"/>
  </protectedRanges>
  <autoFilter ref="A3:B501" xr:uid="{00000000-0009-0000-0000-000001000000}"/>
  <phoneticPr fontId="9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03C06-54D4-44A7-B68E-017C2CCE74C2}">
  <sheetPr codeName="Sheet60"/>
  <dimension ref="A1:AG33"/>
  <sheetViews>
    <sheetView workbookViewId="0">
      <selection activeCell="AA3" sqref="AA3"/>
    </sheetView>
  </sheetViews>
  <sheetFormatPr defaultRowHeight="13.2"/>
  <cols>
    <col min="1" max="1" width="10.5546875" style="20" bestFit="1" customWidth="1"/>
    <col min="2" max="2" width="28.109375" style="20" bestFit="1" customWidth="1"/>
    <col min="3" max="5" width="9" style="20"/>
    <col min="6" max="6" width="3.33203125" style="29" customWidth="1"/>
    <col min="7" max="9" width="9" style="20"/>
    <col min="10" max="10" width="3.33203125" style="29" customWidth="1"/>
    <col min="11" max="16" width="9" style="20"/>
    <col min="17" max="17" width="3.33203125" style="29" customWidth="1"/>
    <col min="18" max="23" width="9" style="20"/>
    <col min="24" max="24" width="3.33203125" style="29" customWidth="1"/>
    <col min="25" max="256" width="9" style="20"/>
    <col min="257" max="257" width="10.5546875" style="20" bestFit="1" customWidth="1"/>
    <col min="258" max="258" width="28.109375" style="20" bestFit="1" customWidth="1"/>
    <col min="259" max="261" width="9" style="20"/>
    <col min="262" max="262" width="3.33203125" style="20" customWidth="1"/>
    <col min="263" max="265" width="9" style="20"/>
    <col min="266" max="266" width="3.33203125" style="20" customWidth="1"/>
    <col min="267" max="272" width="9" style="20"/>
    <col min="273" max="273" width="3.33203125" style="20" customWidth="1"/>
    <col min="274" max="279" width="9" style="20"/>
    <col min="280" max="280" width="3.33203125" style="20" customWidth="1"/>
    <col min="281" max="512" width="9" style="20"/>
    <col min="513" max="513" width="10.5546875" style="20" bestFit="1" customWidth="1"/>
    <col min="514" max="514" width="28.109375" style="20" bestFit="1" customWidth="1"/>
    <col min="515" max="517" width="9" style="20"/>
    <col min="518" max="518" width="3.33203125" style="20" customWidth="1"/>
    <col min="519" max="521" width="9" style="20"/>
    <col min="522" max="522" width="3.33203125" style="20" customWidth="1"/>
    <col min="523" max="528" width="9" style="20"/>
    <col min="529" max="529" width="3.33203125" style="20" customWidth="1"/>
    <col min="530" max="535" width="9" style="20"/>
    <col min="536" max="536" width="3.33203125" style="20" customWidth="1"/>
    <col min="537" max="768" width="9" style="20"/>
    <col min="769" max="769" width="10.5546875" style="20" bestFit="1" customWidth="1"/>
    <col min="770" max="770" width="28.109375" style="20" bestFit="1" customWidth="1"/>
    <col min="771" max="773" width="9" style="20"/>
    <col min="774" max="774" width="3.33203125" style="20" customWidth="1"/>
    <col min="775" max="777" width="9" style="20"/>
    <col min="778" max="778" width="3.33203125" style="20" customWidth="1"/>
    <col min="779" max="784" width="9" style="20"/>
    <col min="785" max="785" width="3.33203125" style="20" customWidth="1"/>
    <col min="786" max="791" width="9" style="20"/>
    <col min="792" max="792" width="3.33203125" style="20" customWidth="1"/>
    <col min="793" max="1024" width="9" style="20"/>
    <col min="1025" max="1025" width="10.5546875" style="20" bestFit="1" customWidth="1"/>
    <col min="1026" max="1026" width="28.109375" style="20" bestFit="1" customWidth="1"/>
    <col min="1027" max="1029" width="9" style="20"/>
    <col min="1030" max="1030" width="3.33203125" style="20" customWidth="1"/>
    <col min="1031" max="1033" width="9" style="20"/>
    <col min="1034" max="1034" width="3.33203125" style="20" customWidth="1"/>
    <col min="1035" max="1040" width="9" style="20"/>
    <col min="1041" max="1041" width="3.33203125" style="20" customWidth="1"/>
    <col min="1042" max="1047" width="9" style="20"/>
    <col min="1048" max="1048" width="3.33203125" style="20" customWidth="1"/>
    <col min="1049" max="1280" width="9" style="20"/>
    <col min="1281" max="1281" width="10.5546875" style="20" bestFit="1" customWidth="1"/>
    <col min="1282" max="1282" width="28.109375" style="20" bestFit="1" customWidth="1"/>
    <col min="1283" max="1285" width="9" style="20"/>
    <col min="1286" max="1286" width="3.33203125" style="20" customWidth="1"/>
    <col min="1287" max="1289" width="9" style="20"/>
    <col min="1290" max="1290" width="3.33203125" style="20" customWidth="1"/>
    <col min="1291" max="1296" width="9" style="20"/>
    <col min="1297" max="1297" width="3.33203125" style="20" customWidth="1"/>
    <col min="1298" max="1303" width="9" style="20"/>
    <col min="1304" max="1304" width="3.33203125" style="20" customWidth="1"/>
    <col min="1305" max="1536" width="9" style="20"/>
    <col min="1537" max="1537" width="10.5546875" style="20" bestFit="1" customWidth="1"/>
    <col min="1538" max="1538" width="28.109375" style="20" bestFit="1" customWidth="1"/>
    <col min="1539" max="1541" width="9" style="20"/>
    <col min="1542" max="1542" width="3.33203125" style="20" customWidth="1"/>
    <col min="1543" max="1545" width="9" style="20"/>
    <col min="1546" max="1546" width="3.33203125" style="20" customWidth="1"/>
    <col min="1547" max="1552" width="9" style="20"/>
    <col min="1553" max="1553" width="3.33203125" style="20" customWidth="1"/>
    <col min="1554" max="1559" width="9" style="20"/>
    <col min="1560" max="1560" width="3.33203125" style="20" customWidth="1"/>
    <col min="1561" max="1792" width="9" style="20"/>
    <col min="1793" max="1793" width="10.5546875" style="20" bestFit="1" customWidth="1"/>
    <col min="1794" max="1794" width="28.109375" style="20" bestFit="1" customWidth="1"/>
    <col min="1795" max="1797" width="9" style="20"/>
    <col min="1798" max="1798" width="3.33203125" style="20" customWidth="1"/>
    <col min="1799" max="1801" width="9" style="20"/>
    <col min="1802" max="1802" width="3.33203125" style="20" customWidth="1"/>
    <col min="1803" max="1808" width="9" style="20"/>
    <col min="1809" max="1809" width="3.33203125" style="20" customWidth="1"/>
    <col min="1810" max="1815" width="9" style="20"/>
    <col min="1816" max="1816" width="3.33203125" style="20" customWidth="1"/>
    <col min="1817" max="2048" width="9" style="20"/>
    <col min="2049" max="2049" width="10.5546875" style="20" bestFit="1" customWidth="1"/>
    <col min="2050" max="2050" width="28.109375" style="20" bestFit="1" customWidth="1"/>
    <col min="2051" max="2053" width="9" style="20"/>
    <col min="2054" max="2054" width="3.33203125" style="20" customWidth="1"/>
    <col min="2055" max="2057" width="9" style="20"/>
    <col min="2058" max="2058" width="3.33203125" style="20" customWidth="1"/>
    <col min="2059" max="2064" width="9" style="20"/>
    <col min="2065" max="2065" width="3.33203125" style="20" customWidth="1"/>
    <col min="2066" max="2071" width="9" style="20"/>
    <col min="2072" max="2072" width="3.33203125" style="20" customWidth="1"/>
    <col min="2073" max="2304" width="9" style="20"/>
    <col min="2305" max="2305" width="10.5546875" style="20" bestFit="1" customWidth="1"/>
    <col min="2306" max="2306" width="28.109375" style="20" bestFit="1" customWidth="1"/>
    <col min="2307" max="2309" width="9" style="20"/>
    <col min="2310" max="2310" width="3.33203125" style="20" customWidth="1"/>
    <col min="2311" max="2313" width="9" style="20"/>
    <col min="2314" max="2314" width="3.33203125" style="20" customWidth="1"/>
    <col min="2315" max="2320" width="9" style="20"/>
    <col min="2321" max="2321" width="3.33203125" style="20" customWidth="1"/>
    <col min="2322" max="2327" width="9" style="20"/>
    <col min="2328" max="2328" width="3.33203125" style="20" customWidth="1"/>
    <col min="2329" max="2560" width="9" style="20"/>
    <col min="2561" max="2561" width="10.5546875" style="20" bestFit="1" customWidth="1"/>
    <col min="2562" max="2562" width="28.109375" style="20" bestFit="1" customWidth="1"/>
    <col min="2563" max="2565" width="9" style="20"/>
    <col min="2566" max="2566" width="3.33203125" style="20" customWidth="1"/>
    <col min="2567" max="2569" width="9" style="20"/>
    <col min="2570" max="2570" width="3.33203125" style="20" customWidth="1"/>
    <col min="2571" max="2576" width="9" style="20"/>
    <col min="2577" max="2577" width="3.33203125" style="20" customWidth="1"/>
    <col min="2578" max="2583" width="9" style="20"/>
    <col min="2584" max="2584" width="3.33203125" style="20" customWidth="1"/>
    <col min="2585" max="2816" width="9" style="20"/>
    <col min="2817" max="2817" width="10.5546875" style="20" bestFit="1" customWidth="1"/>
    <col min="2818" max="2818" width="28.109375" style="20" bestFit="1" customWidth="1"/>
    <col min="2819" max="2821" width="9" style="20"/>
    <col min="2822" max="2822" width="3.33203125" style="20" customWidth="1"/>
    <col min="2823" max="2825" width="9" style="20"/>
    <col min="2826" max="2826" width="3.33203125" style="20" customWidth="1"/>
    <col min="2827" max="2832" width="9" style="20"/>
    <col min="2833" max="2833" width="3.33203125" style="20" customWidth="1"/>
    <col min="2834" max="2839" width="9" style="20"/>
    <col min="2840" max="2840" width="3.33203125" style="20" customWidth="1"/>
    <col min="2841" max="3072" width="9" style="20"/>
    <col min="3073" max="3073" width="10.5546875" style="20" bestFit="1" customWidth="1"/>
    <col min="3074" max="3074" width="28.109375" style="20" bestFit="1" customWidth="1"/>
    <col min="3075" max="3077" width="9" style="20"/>
    <col min="3078" max="3078" width="3.33203125" style="20" customWidth="1"/>
    <col min="3079" max="3081" width="9" style="20"/>
    <col min="3082" max="3082" width="3.33203125" style="20" customWidth="1"/>
    <col min="3083" max="3088" width="9" style="20"/>
    <col min="3089" max="3089" width="3.33203125" style="20" customWidth="1"/>
    <col min="3090" max="3095" width="9" style="20"/>
    <col min="3096" max="3096" width="3.33203125" style="20" customWidth="1"/>
    <col min="3097" max="3328" width="9" style="20"/>
    <col min="3329" max="3329" width="10.5546875" style="20" bestFit="1" customWidth="1"/>
    <col min="3330" max="3330" width="28.109375" style="20" bestFit="1" customWidth="1"/>
    <col min="3331" max="3333" width="9" style="20"/>
    <col min="3334" max="3334" width="3.33203125" style="20" customWidth="1"/>
    <col min="3335" max="3337" width="9" style="20"/>
    <col min="3338" max="3338" width="3.33203125" style="20" customWidth="1"/>
    <col min="3339" max="3344" width="9" style="20"/>
    <col min="3345" max="3345" width="3.33203125" style="20" customWidth="1"/>
    <col min="3346" max="3351" width="9" style="20"/>
    <col min="3352" max="3352" width="3.33203125" style="20" customWidth="1"/>
    <col min="3353" max="3584" width="9" style="20"/>
    <col min="3585" max="3585" width="10.5546875" style="20" bestFit="1" customWidth="1"/>
    <col min="3586" max="3586" width="28.109375" style="20" bestFit="1" customWidth="1"/>
    <col min="3587" max="3589" width="9" style="20"/>
    <col min="3590" max="3590" width="3.33203125" style="20" customWidth="1"/>
    <col min="3591" max="3593" width="9" style="20"/>
    <col min="3594" max="3594" width="3.33203125" style="20" customWidth="1"/>
    <col min="3595" max="3600" width="9" style="20"/>
    <col min="3601" max="3601" width="3.33203125" style="20" customWidth="1"/>
    <col min="3602" max="3607" width="9" style="20"/>
    <col min="3608" max="3608" width="3.33203125" style="20" customWidth="1"/>
    <col min="3609" max="3840" width="9" style="20"/>
    <col min="3841" max="3841" width="10.5546875" style="20" bestFit="1" customWidth="1"/>
    <col min="3842" max="3842" width="28.109375" style="20" bestFit="1" customWidth="1"/>
    <col min="3843" max="3845" width="9" style="20"/>
    <col min="3846" max="3846" width="3.33203125" style="20" customWidth="1"/>
    <col min="3847" max="3849" width="9" style="20"/>
    <col min="3850" max="3850" width="3.33203125" style="20" customWidth="1"/>
    <col min="3851" max="3856" width="9" style="20"/>
    <col min="3857" max="3857" width="3.33203125" style="20" customWidth="1"/>
    <col min="3858" max="3863" width="9" style="20"/>
    <col min="3864" max="3864" width="3.33203125" style="20" customWidth="1"/>
    <col min="3865" max="4096" width="9" style="20"/>
    <col min="4097" max="4097" width="10.5546875" style="20" bestFit="1" customWidth="1"/>
    <col min="4098" max="4098" width="28.109375" style="20" bestFit="1" customWidth="1"/>
    <col min="4099" max="4101" width="9" style="20"/>
    <col min="4102" max="4102" width="3.33203125" style="20" customWidth="1"/>
    <col min="4103" max="4105" width="9" style="20"/>
    <col min="4106" max="4106" width="3.33203125" style="20" customWidth="1"/>
    <col min="4107" max="4112" width="9" style="20"/>
    <col min="4113" max="4113" width="3.33203125" style="20" customWidth="1"/>
    <col min="4114" max="4119" width="9" style="20"/>
    <col min="4120" max="4120" width="3.33203125" style="20" customWidth="1"/>
    <col min="4121" max="4352" width="9" style="20"/>
    <col min="4353" max="4353" width="10.5546875" style="20" bestFit="1" customWidth="1"/>
    <col min="4354" max="4354" width="28.109375" style="20" bestFit="1" customWidth="1"/>
    <col min="4355" max="4357" width="9" style="20"/>
    <col min="4358" max="4358" width="3.33203125" style="20" customWidth="1"/>
    <col min="4359" max="4361" width="9" style="20"/>
    <col min="4362" max="4362" width="3.33203125" style="20" customWidth="1"/>
    <col min="4363" max="4368" width="9" style="20"/>
    <col min="4369" max="4369" width="3.33203125" style="20" customWidth="1"/>
    <col min="4370" max="4375" width="9" style="20"/>
    <col min="4376" max="4376" width="3.33203125" style="20" customWidth="1"/>
    <col min="4377" max="4608" width="9" style="20"/>
    <col min="4609" max="4609" width="10.5546875" style="20" bestFit="1" customWidth="1"/>
    <col min="4610" max="4610" width="28.109375" style="20" bestFit="1" customWidth="1"/>
    <col min="4611" max="4613" width="9" style="20"/>
    <col min="4614" max="4614" width="3.33203125" style="20" customWidth="1"/>
    <col min="4615" max="4617" width="9" style="20"/>
    <col min="4618" max="4618" width="3.33203125" style="20" customWidth="1"/>
    <col min="4619" max="4624" width="9" style="20"/>
    <col min="4625" max="4625" width="3.33203125" style="20" customWidth="1"/>
    <col min="4626" max="4631" width="9" style="20"/>
    <col min="4632" max="4632" width="3.33203125" style="20" customWidth="1"/>
    <col min="4633" max="4864" width="9" style="20"/>
    <col min="4865" max="4865" width="10.5546875" style="20" bestFit="1" customWidth="1"/>
    <col min="4866" max="4866" width="28.109375" style="20" bestFit="1" customWidth="1"/>
    <col min="4867" max="4869" width="9" style="20"/>
    <col min="4870" max="4870" width="3.33203125" style="20" customWidth="1"/>
    <col min="4871" max="4873" width="9" style="20"/>
    <col min="4874" max="4874" width="3.33203125" style="20" customWidth="1"/>
    <col min="4875" max="4880" width="9" style="20"/>
    <col min="4881" max="4881" width="3.33203125" style="20" customWidth="1"/>
    <col min="4882" max="4887" width="9" style="20"/>
    <col min="4888" max="4888" width="3.33203125" style="20" customWidth="1"/>
    <col min="4889" max="5120" width="9" style="20"/>
    <col min="5121" max="5121" width="10.5546875" style="20" bestFit="1" customWidth="1"/>
    <col min="5122" max="5122" width="28.109375" style="20" bestFit="1" customWidth="1"/>
    <col min="5123" max="5125" width="9" style="20"/>
    <col min="5126" max="5126" width="3.33203125" style="20" customWidth="1"/>
    <col min="5127" max="5129" width="9" style="20"/>
    <col min="5130" max="5130" width="3.33203125" style="20" customWidth="1"/>
    <col min="5131" max="5136" width="9" style="20"/>
    <col min="5137" max="5137" width="3.33203125" style="20" customWidth="1"/>
    <col min="5138" max="5143" width="9" style="20"/>
    <col min="5144" max="5144" width="3.33203125" style="20" customWidth="1"/>
    <col min="5145" max="5376" width="9" style="20"/>
    <col min="5377" max="5377" width="10.5546875" style="20" bestFit="1" customWidth="1"/>
    <col min="5378" max="5378" width="28.109375" style="20" bestFit="1" customWidth="1"/>
    <col min="5379" max="5381" width="9" style="20"/>
    <col min="5382" max="5382" width="3.33203125" style="20" customWidth="1"/>
    <col min="5383" max="5385" width="9" style="20"/>
    <col min="5386" max="5386" width="3.33203125" style="20" customWidth="1"/>
    <col min="5387" max="5392" width="9" style="20"/>
    <col min="5393" max="5393" width="3.33203125" style="20" customWidth="1"/>
    <col min="5394" max="5399" width="9" style="20"/>
    <col min="5400" max="5400" width="3.33203125" style="20" customWidth="1"/>
    <col min="5401" max="5632" width="9" style="20"/>
    <col min="5633" max="5633" width="10.5546875" style="20" bestFit="1" customWidth="1"/>
    <col min="5634" max="5634" width="28.109375" style="20" bestFit="1" customWidth="1"/>
    <col min="5635" max="5637" width="9" style="20"/>
    <col min="5638" max="5638" width="3.33203125" style="20" customWidth="1"/>
    <col min="5639" max="5641" width="9" style="20"/>
    <col min="5642" max="5642" width="3.33203125" style="20" customWidth="1"/>
    <col min="5643" max="5648" width="9" style="20"/>
    <col min="5649" max="5649" width="3.33203125" style="20" customWidth="1"/>
    <col min="5650" max="5655" width="9" style="20"/>
    <col min="5656" max="5656" width="3.33203125" style="20" customWidth="1"/>
    <col min="5657" max="5888" width="9" style="20"/>
    <col min="5889" max="5889" width="10.5546875" style="20" bestFit="1" customWidth="1"/>
    <col min="5890" max="5890" width="28.109375" style="20" bestFit="1" customWidth="1"/>
    <col min="5891" max="5893" width="9" style="20"/>
    <col min="5894" max="5894" width="3.33203125" style="20" customWidth="1"/>
    <col min="5895" max="5897" width="9" style="20"/>
    <col min="5898" max="5898" width="3.33203125" style="20" customWidth="1"/>
    <col min="5899" max="5904" width="9" style="20"/>
    <col min="5905" max="5905" width="3.33203125" style="20" customWidth="1"/>
    <col min="5906" max="5911" width="9" style="20"/>
    <col min="5912" max="5912" width="3.33203125" style="20" customWidth="1"/>
    <col min="5913" max="6144" width="9" style="20"/>
    <col min="6145" max="6145" width="10.5546875" style="20" bestFit="1" customWidth="1"/>
    <col min="6146" max="6146" width="28.109375" style="20" bestFit="1" customWidth="1"/>
    <col min="6147" max="6149" width="9" style="20"/>
    <col min="6150" max="6150" width="3.33203125" style="20" customWidth="1"/>
    <col min="6151" max="6153" width="9" style="20"/>
    <col min="6154" max="6154" width="3.33203125" style="20" customWidth="1"/>
    <col min="6155" max="6160" width="9" style="20"/>
    <col min="6161" max="6161" width="3.33203125" style="20" customWidth="1"/>
    <col min="6162" max="6167" width="9" style="20"/>
    <col min="6168" max="6168" width="3.33203125" style="20" customWidth="1"/>
    <col min="6169" max="6400" width="9" style="20"/>
    <col min="6401" max="6401" width="10.5546875" style="20" bestFit="1" customWidth="1"/>
    <col min="6402" max="6402" width="28.109375" style="20" bestFit="1" customWidth="1"/>
    <col min="6403" max="6405" width="9" style="20"/>
    <col min="6406" max="6406" width="3.33203125" style="20" customWidth="1"/>
    <col min="6407" max="6409" width="9" style="20"/>
    <col min="6410" max="6410" width="3.33203125" style="20" customWidth="1"/>
    <col min="6411" max="6416" width="9" style="20"/>
    <col min="6417" max="6417" width="3.33203125" style="20" customWidth="1"/>
    <col min="6418" max="6423" width="9" style="20"/>
    <col min="6424" max="6424" width="3.33203125" style="20" customWidth="1"/>
    <col min="6425" max="6656" width="9" style="20"/>
    <col min="6657" max="6657" width="10.5546875" style="20" bestFit="1" customWidth="1"/>
    <col min="6658" max="6658" width="28.109375" style="20" bestFit="1" customWidth="1"/>
    <col min="6659" max="6661" width="9" style="20"/>
    <col min="6662" max="6662" width="3.33203125" style="20" customWidth="1"/>
    <col min="6663" max="6665" width="9" style="20"/>
    <col min="6666" max="6666" width="3.33203125" style="20" customWidth="1"/>
    <col min="6667" max="6672" width="9" style="20"/>
    <col min="6673" max="6673" width="3.33203125" style="20" customWidth="1"/>
    <col min="6674" max="6679" width="9" style="20"/>
    <col min="6680" max="6680" width="3.33203125" style="20" customWidth="1"/>
    <col min="6681" max="6912" width="9" style="20"/>
    <col min="6913" max="6913" width="10.5546875" style="20" bestFit="1" customWidth="1"/>
    <col min="6914" max="6914" width="28.109375" style="20" bestFit="1" customWidth="1"/>
    <col min="6915" max="6917" width="9" style="20"/>
    <col min="6918" max="6918" width="3.33203125" style="20" customWidth="1"/>
    <col min="6919" max="6921" width="9" style="20"/>
    <col min="6922" max="6922" width="3.33203125" style="20" customWidth="1"/>
    <col min="6923" max="6928" width="9" style="20"/>
    <col min="6929" max="6929" width="3.33203125" style="20" customWidth="1"/>
    <col min="6930" max="6935" width="9" style="20"/>
    <col min="6936" max="6936" width="3.33203125" style="20" customWidth="1"/>
    <col min="6937" max="7168" width="9" style="20"/>
    <col min="7169" max="7169" width="10.5546875" style="20" bestFit="1" customWidth="1"/>
    <col min="7170" max="7170" width="28.109375" style="20" bestFit="1" customWidth="1"/>
    <col min="7171" max="7173" width="9" style="20"/>
    <col min="7174" max="7174" width="3.33203125" style="20" customWidth="1"/>
    <col min="7175" max="7177" width="9" style="20"/>
    <col min="7178" max="7178" width="3.33203125" style="20" customWidth="1"/>
    <col min="7179" max="7184" width="9" style="20"/>
    <col min="7185" max="7185" width="3.33203125" style="20" customWidth="1"/>
    <col min="7186" max="7191" width="9" style="20"/>
    <col min="7192" max="7192" width="3.33203125" style="20" customWidth="1"/>
    <col min="7193" max="7424" width="9" style="20"/>
    <col min="7425" max="7425" width="10.5546875" style="20" bestFit="1" customWidth="1"/>
    <col min="7426" max="7426" width="28.109375" style="20" bestFit="1" customWidth="1"/>
    <col min="7427" max="7429" width="9" style="20"/>
    <col min="7430" max="7430" width="3.33203125" style="20" customWidth="1"/>
    <col min="7431" max="7433" width="9" style="20"/>
    <col min="7434" max="7434" width="3.33203125" style="20" customWidth="1"/>
    <col min="7435" max="7440" width="9" style="20"/>
    <col min="7441" max="7441" width="3.33203125" style="20" customWidth="1"/>
    <col min="7442" max="7447" width="9" style="20"/>
    <col min="7448" max="7448" width="3.33203125" style="20" customWidth="1"/>
    <col min="7449" max="7680" width="9" style="20"/>
    <col min="7681" max="7681" width="10.5546875" style="20" bestFit="1" customWidth="1"/>
    <col min="7682" max="7682" width="28.109375" style="20" bestFit="1" customWidth="1"/>
    <col min="7683" max="7685" width="9" style="20"/>
    <col min="7686" max="7686" width="3.33203125" style="20" customWidth="1"/>
    <col min="7687" max="7689" width="9" style="20"/>
    <col min="7690" max="7690" width="3.33203125" style="20" customWidth="1"/>
    <col min="7691" max="7696" width="9" style="20"/>
    <col min="7697" max="7697" width="3.33203125" style="20" customWidth="1"/>
    <col min="7698" max="7703" width="9" style="20"/>
    <col min="7704" max="7704" width="3.33203125" style="20" customWidth="1"/>
    <col min="7705" max="7936" width="9" style="20"/>
    <col min="7937" max="7937" width="10.5546875" style="20" bestFit="1" customWidth="1"/>
    <col min="7938" max="7938" width="28.109375" style="20" bestFit="1" customWidth="1"/>
    <col min="7939" max="7941" width="9" style="20"/>
    <col min="7942" max="7942" width="3.33203125" style="20" customWidth="1"/>
    <col min="7943" max="7945" width="9" style="20"/>
    <col min="7946" max="7946" width="3.33203125" style="20" customWidth="1"/>
    <col min="7947" max="7952" width="9" style="20"/>
    <col min="7953" max="7953" width="3.33203125" style="20" customWidth="1"/>
    <col min="7954" max="7959" width="9" style="20"/>
    <col min="7960" max="7960" width="3.33203125" style="20" customWidth="1"/>
    <col min="7961" max="8192" width="9" style="20"/>
    <col min="8193" max="8193" width="10.5546875" style="20" bestFit="1" customWidth="1"/>
    <col min="8194" max="8194" width="28.109375" style="20" bestFit="1" customWidth="1"/>
    <col min="8195" max="8197" width="9" style="20"/>
    <col min="8198" max="8198" width="3.33203125" style="20" customWidth="1"/>
    <col min="8199" max="8201" width="9" style="20"/>
    <col min="8202" max="8202" width="3.33203125" style="20" customWidth="1"/>
    <col min="8203" max="8208" width="9" style="20"/>
    <col min="8209" max="8209" width="3.33203125" style="20" customWidth="1"/>
    <col min="8210" max="8215" width="9" style="20"/>
    <col min="8216" max="8216" width="3.33203125" style="20" customWidth="1"/>
    <col min="8217" max="8448" width="9" style="20"/>
    <col min="8449" max="8449" width="10.5546875" style="20" bestFit="1" customWidth="1"/>
    <col min="8450" max="8450" width="28.109375" style="20" bestFit="1" customWidth="1"/>
    <col min="8451" max="8453" width="9" style="20"/>
    <col min="8454" max="8454" width="3.33203125" style="20" customWidth="1"/>
    <col min="8455" max="8457" width="9" style="20"/>
    <col min="8458" max="8458" width="3.33203125" style="20" customWidth="1"/>
    <col min="8459" max="8464" width="9" style="20"/>
    <col min="8465" max="8465" width="3.33203125" style="20" customWidth="1"/>
    <col min="8466" max="8471" width="9" style="20"/>
    <col min="8472" max="8472" width="3.33203125" style="20" customWidth="1"/>
    <col min="8473" max="8704" width="9" style="20"/>
    <col min="8705" max="8705" width="10.5546875" style="20" bestFit="1" customWidth="1"/>
    <col min="8706" max="8706" width="28.109375" style="20" bestFit="1" customWidth="1"/>
    <col min="8707" max="8709" width="9" style="20"/>
    <col min="8710" max="8710" width="3.33203125" style="20" customWidth="1"/>
    <col min="8711" max="8713" width="9" style="20"/>
    <col min="8714" max="8714" width="3.33203125" style="20" customWidth="1"/>
    <col min="8715" max="8720" width="9" style="20"/>
    <col min="8721" max="8721" width="3.33203125" style="20" customWidth="1"/>
    <col min="8722" max="8727" width="9" style="20"/>
    <col min="8728" max="8728" width="3.33203125" style="20" customWidth="1"/>
    <col min="8729" max="8960" width="9" style="20"/>
    <col min="8961" max="8961" width="10.5546875" style="20" bestFit="1" customWidth="1"/>
    <col min="8962" max="8962" width="28.109375" style="20" bestFit="1" customWidth="1"/>
    <col min="8963" max="8965" width="9" style="20"/>
    <col min="8966" max="8966" width="3.33203125" style="20" customWidth="1"/>
    <col min="8967" max="8969" width="9" style="20"/>
    <col min="8970" max="8970" width="3.33203125" style="20" customWidth="1"/>
    <col min="8971" max="8976" width="9" style="20"/>
    <col min="8977" max="8977" width="3.33203125" style="20" customWidth="1"/>
    <col min="8978" max="8983" width="9" style="20"/>
    <col min="8984" max="8984" width="3.33203125" style="20" customWidth="1"/>
    <col min="8985" max="9216" width="9" style="20"/>
    <col min="9217" max="9217" width="10.5546875" style="20" bestFit="1" customWidth="1"/>
    <col min="9218" max="9218" width="28.109375" style="20" bestFit="1" customWidth="1"/>
    <col min="9219" max="9221" width="9" style="20"/>
    <col min="9222" max="9222" width="3.33203125" style="20" customWidth="1"/>
    <col min="9223" max="9225" width="9" style="20"/>
    <col min="9226" max="9226" width="3.33203125" style="20" customWidth="1"/>
    <col min="9227" max="9232" width="9" style="20"/>
    <col min="9233" max="9233" width="3.33203125" style="20" customWidth="1"/>
    <col min="9234" max="9239" width="9" style="20"/>
    <col min="9240" max="9240" width="3.33203125" style="20" customWidth="1"/>
    <col min="9241" max="9472" width="9" style="20"/>
    <col min="9473" max="9473" width="10.5546875" style="20" bestFit="1" customWidth="1"/>
    <col min="9474" max="9474" width="28.109375" style="20" bestFit="1" customWidth="1"/>
    <col min="9475" max="9477" width="9" style="20"/>
    <col min="9478" max="9478" width="3.33203125" style="20" customWidth="1"/>
    <col min="9479" max="9481" width="9" style="20"/>
    <col min="9482" max="9482" width="3.33203125" style="20" customWidth="1"/>
    <col min="9483" max="9488" width="9" style="20"/>
    <col min="9489" max="9489" width="3.33203125" style="20" customWidth="1"/>
    <col min="9490" max="9495" width="9" style="20"/>
    <col min="9496" max="9496" width="3.33203125" style="20" customWidth="1"/>
    <col min="9497" max="9728" width="9" style="20"/>
    <col min="9729" max="9729" width="10.5546875" style="20" bestFit="1" customWidth="1"/>
    <col min="9730" max="9730" width="28.109375" style="20" bestFit="1" customWidth="1"/>
    <col min="9731" max="9733" width="9" style="20"/>
    <col min="9734" max="9734" width="3.33203125" style="20" customWidth="1"/>
    <col min="9735" max="9737" width="9" style="20"/>
    <col min="9738" max="9738" width="3.33203125" style="20" customWidth="1"/>
    <col min="9739" max="9744" width="9" style="20"/>
    <col min="9745" max="9745" width="3.33203125" style="20" customWidth="1"/>
    <col min="9746" max="9751" width="9" style="20"/>
    <col min="9752" max="9752" width="3.33203125" style="20" customWidth="1"/>
    <col min="9753" max="9984" width="9" style="20"/>
    <col min="9985" max="9985" width="10.5546875" style="20" bestFit="1" customWidth="1"/>
    <col min="9986" max="9986" width="28.109375" style="20" bestFit="1" customWidth="1"/>
    <col min="9987" max="9989" width="9" style="20"/>
    <col min="9990" max="9990" width="3.33203125" style="20" customWidth="1"/>
    <col min="9991" max="9993" width="9" style="20"/>
    <col min="9994" max="9994" width="3.33203125" style="20" customWidth="1"/>
    <col min="9995" max="10000" width="9" style="20"/>
    <col min="10001" max="10001" width="3.33203125" style="20" customWidth="1"/>
    <col min="10002" max="10007" width="9" style="20"/>
    <col min="10008" max="10008" width="3.33203125" style="20" customWidth="1"/>
    <col min="10009" max="10240" width="9" style="20"/>
    <col min="10241" max="10241" width="10.5546875" style="20" bestFit="1" customWidth="1"/>
    <col min="10242" max="10242" width="28.109375" style="20" bestFit="1" customWidth="1"/>
    <col min="10243" max="10245" width="9" style="20"/>
    <col min="10246" max="10246" width="3.33203125" style="20" customWidth="1"/>
    <col min="10247" max="10249" width="9" style="20"/>
    <col min="10250" max="10250" width="3.33203125" style="20" customWidth="1"/>
    <col min="10251" max="10256" width="9" style="20"/>
    <col min="10257" max="10257" width="3.33203125" style="20" customWidth="1"/>
    <col min="10258" max="10263" width="9" style="20"/>
    <col min="10264" max="10264" width="3.33203125" style="20" customWidth="1"/>
    <col min="10265" max="10496" width="9" style="20"/>
    <col min="10497" max="10497" width="10.5546875" style="20" bestFit="1" customWidth="1"/>
    <col min="10498" max="10498" width="28.109375" style="20" bestFit="1" customWidth="1"/>
    <col min="10499" max="10501" width="9" style="20"/>
    <col min="10502" max="10502" width="3.33203125" style="20" customWidth="1"/>
    <col min="10503" max="10505" width="9" style="20"/>
    <col min="10506" max="10506" width="3.33203125" style="20" customWidth="1"/>
    <col min="10507" max="10512" width="9" style="20"/>
    <col min="10513" max="10513" width="3.33203125" style="20" customWidth="1"/>
    <col min="10514" max="10519" width="9" style="20"/>
    <col min="10520" max="10520" width="3.33203125" style="20" customWidth="1"/>
    <col min="10521" max="10752" width="9" style="20"/>
    <col min="10753" max="10753" width="10.5546875" style="20" bestFit="1" customWidth="1"/>
    <col min="10754" max="10754" width="28.109375" style="20" bestFit="1" customWidth="1"/>
    <col min="10755" max="10757" width="9" style="20"/>
    <col min="10758" max="10758" width="3.33203125" style="20" customWidth="1"/>
    <col min="10759" max="10761" width="9" style="20"/>
    <col min="10762" max="10762" width="3.33203125" style="20" customWidth="1"/>
    <col min="10763" max="10768" width="9" style="20"/>
    <col min="10769" max="10769" width="3.33203125" style="20" customWidth="1"/>
    <col min="10770" max="10775" width="9" style="20"/>
    <col min="10776" max="10776" width="3.33203125" style="20" customWidth="1"/>
    <col min="10777" max="11008" width="9" style="20"/>
    <col min="11009" max="11009" width="10.5546875" style="20" bestFit="1" customWidth="1"/>
    <col min="11010" max="11010" width="28.109375" style="20" bestFit="1" customWidth="1"/>
    <col min="11011" max="11013" width="9" style="20"/>
    <col min="11014" max="11014" width="3.33203125" style="20" customWidth="1"/>
    <col min="11015" max="11017" width="9" style="20"/>
    <col min="11018" max="11018" width="3.33203125" style="20" customWidth="1"/>
    <col min="11019" max="11024" width="9" style="20"/>
    <col min="11025" max="11025" width="3.33203125" style="20" customWidth="1"/>
    <col min="11026" max="11031" width="9" style="20"/>
    <col min="11032" max="11032" width="3.33203125" style="20" customWidth="1"/>
    <col min="11033" max="11264" width="9" style="20"/>
    <col min="11265" max="11265" width="10.5546875" style="20" bestFit="1" customWidth="1"/>
    <col min="11266" max="11266" width="28.109375" style="20" bestFit="1" customWidth="1"/>
    <col min="11267" max="11269" width="9" style="20"/>
    <col min="11270" max="11270" width="3.33203125" style="20" customWidth="1"/>
    <col min="11271" max="11273" width="9" style="20"/>
    <col min="11274" max="11274" width="3.33203125" style="20" customWidth="1"/>
    <col min="11275" max="11280" width="9" style="20"/>
    <col min="11281" max="11281" width="3.33203125" style="20" customWidth="1"/>
    <col min="11282" max="11287" width="9" style="20"/>
    <col min="11288" max="11288" width="3.33203125" style="20" customWidth="1"/>
    <col min="11289" max="11520" width="9" style="20"/>
    <col min="11521" max="11521" width="10.5546875" style="20" bestFit="1" customWidth="1"/>
    <col min="11522" max="11522" width="28.109375" style="20" bestFit="1" customWidth="1"/>
    <col min="11523" max="11525" width="9" style="20"/>
    <col min="11526" max="11526" width="3.33203125" style="20" customWidth="1"/>
    <col min="11527" max="11529" width="9" style="20"/>
    <col min="11530" max="11530" width="3.33203125" style="20" customWidth="1"/>
    <col min="11531" max="11536" width="9" style="20"/>
    <col min="11537" max="11537" width="3.33203125" style="20" customWidth="1"/>
    <col min="11538" max="11543" width="9" style="20"/>
    <col min="11544" max="11544" width="3.33203125" style="20" customWidth="1"/>
    <col min="11545" max="11776" width="9" style="20"/>
    <col min="11777" max="11777" width="10.5546875" style="20" bestFit="1" customWidth="1"/>
    <col min="11778" max="11778" width="28.109375" style="20" bestFit="1" customWidth="1"/>
    <col min="11779" max="11781" width="9" style="20"/>
    <col min="11782" max="11782" width="3.33203125" style="20" customWidth="1"/>
    <col min="11783" max="11785" width="9" style="20"/>
    <col min="11786" max="11786" width="3.33203125" style="20" customWidth="1"/>
    <col min="11787" max="11792" width="9" style="20"/>
    <col min="11793" max="11793" width="3.33203125" style="20" customWidth="1"/>
    <col min="11794" max="11799" width="9" style="20"/>
    <col min="11800" max="11800" width="3.33203125" style="20" customWidth="1"/>
    <col min="11801" max="12032" width="9" style="20"/>
    <col min="12033" max="12033" width="10.5546875" style="20" bestFit="1" customWidth="1"/>
    <col min="12034" max="12034" width="28.109375" style="20" bestFit="1" customWidth="1"/>
    <col min="12035" max="12037" width="9" style="20"/>
    <col min="12038" max="12038" width="3.33203125" style="20" customWidth="1"/>
    <col min="12039" max="12041" width="9" style="20"/>
    <col min="12042" max="12042" width="3.33203125" style="20" customWidth="1"/>
    <col min="12043" max="12048" width="9" style="20"/>
    <col min="12049" max="12049" width="3.33203125" style="20" customWidth="1"/>
    <col min="12050" max="12055" width="9" style="20"/>
    <col min="12056" max="12056" width="3.33203125" style="20" customWidth="1"/>
    <col min="12057" max="12288" width="9" style="20"/>
    <col min="12289" max="12289" width="10.5546875" style="20" bestFit="1" customWidth="1"/>
    <col min="12290" max="12290" width="28.109375" style="20" bestFit="1" customWidth="1"/>
    <col min="12291" max="12293" width="9" style="20"/>
    <col min="12294" max="12294" width="3.33203125" style="20" customWidth="1"/>
    <col min="12295" max="12297" width="9" style="20"/>
    <col min="12298" max="12298" width="3.33203125" style="20" customWidth="1"/>
    <col min="12299" max="12304" width="9" style="20"/>
    <col min="12305" max="12305" width="3.33203125" style="20" customWidth="1"/>
    <col min="12306" max="12311" width="9" style="20"/>
    <col min="12312" max="12312" width="3.33203125" style="20" customWidth="1"/>
    <col min="12313" max="12544" width="9" style="20"/>
    <col min="12545" max="12545" width="10.5546875" style="20" bestFit="1" customWidth="1"/>
    <col min="12546" max="12546" width="28.109375" style="20" bestFit="1" customWidth="1"/>
    <col min="12547" max="12549" width="9" style="20"/>
    <col min="12550" max="12550" width="3.33203125" style="20" customWidth="1"/>
    <col min="12551" max="12553" width="9" style="20"/>
    <col min="12554" max="12554" width="3.33203125" style="20" customWidth="1"/>
    <col min="12555" max="12560" width="9" style="20"/>
    <col min="12561" max="12561" width="3.33203125" style="20" customWidth="1"/>
    <col min="12562" max="12567" width="9" style="20"/>
    <col min="12568" max="12568" width="3.33203125" style="20" customWidth="1"/>
    <col min="12569" max="12800" width="9" style="20"/>
    <col min="12801" max="12801" width="10.5546875" style="20" bestFit="1" customWidth="1"/>
    <col min="12802" max="12802" width="28.109375" style="20" bestFit="1" customWidth="1"/>
    <col min="12803" max="12805" width="9" style="20"/>
    <col min="12806" max="12806" width="3.33203125" style="20" customWidth="1"/>
    <col min="12807" max="12809" width="9" style="20"/>
    <col min="12810" max="12810" width="3.33203125" style="20" customWidth="1"/>
    <col min="12811" max="12816" width="9" style="20"/>
    <col min="12817" max="12817" width="3.33203125" style="20" customWidth="1"/>
    <col min="12818" max="12823" width="9" style="20"/>
    <col min="12824" max="12824" width="3.33203125" style="20" customWidth="1"/>
    <col min="12825" max="13056" width="9" style="20"/>
    <col min="13057" max="13057" width="10.5546875" style="20" bestFit="1" customWidth="1"/>
    <col min="13058" max="13058" width="28.109375" style="20" bestFit="1" customWidth="1"/>
    <col min="13059" max="13061" width="9" style="20"/>
    <col min="13062" max="13062" width="3.33203125" style="20" customWidth="1"/>
    <col min="13063" max="13065" width="9" style="20"/>
    <col min="13066" max="13066" width="3.33203125" style="20" customWidth="1"/>
    <col min="13067" max="13072" width="9" style="20"/>
    <col min="13073" max="13073" width="3.33203125" style="20" customWidth="1"/>
    <col min="13074" max="13079" width="9" style="20"/>
    <col min="13080" max="13080" width="3.33203125" style="20" customWidth="1"/>
    <col min="13081" max="13312" width="9" style="20"/>
    <col min="13313" max="13313" width="10.5546875" style="20" bestFit="1" customWidth="1"/>
    <col min="13314" max="13314" width="28.109375" style="20" bestFit="1" customWidth="1"/>
    <col min="13315" max="13317" width="9" style="20"/>
    <col min="13318" max="13318" width="3.33203125" style="20" customWidth="1"/>
    <col min="13319" max="13321" width="9" style="20"/>
    <col min="13322" max="13322" width="3.33203125" style="20" customWidth="1"/>
    <col min="13323" max="13328" width="9" style="20"/>
    <col min="13329" max="13329" width="3.33203125" style="20" customWidth="1"/>
    <col min="13330" max="13335" width="9" style="20"/>
    <col min="13336" max="13336" width="3.33203125" style="20" customWidth="1"/>
    <col min="13337" max="13568" width="9" style="20"/>
    <col min="13569" max="13569" width="10.5546875" style="20" bestFit="1" customWidth="1"/>
    <col min="13570" max="13570" width="28.109375" style="20" bestFit="1" customWidth="1"/>
    <col min="13571" max="13573" width="9" style="20"/>
    <col min="13574" max="13574" width="3.33203125" style="20" customWidth="1"/>
    <col min="13575" max="13577" width="9" style="20"/>
    <col min="13578" max="13578" width="3.33203125" style="20" customWidth="1"/>
    <col min="13579" max="13584" width="9" style="20"/>
    <col min="13585" max="13585" width="3.33203125" style="20" customWidth="1"/>
    <col min="13586" max="13591" width="9" style="20"/>
    <col min="13592" max="13592" width="3.33203125" style="20" customWidth="1"/>
    <col min="13593" max="13824" width="9" style="20"/>
    <col min="13825" max="13825" width="10.5546875" style="20" bestFit="1" customWidth="1"/>
    <col min="13826" max="13826" width="28.109375" style="20" bestFit="1" customWidth="1"/>
    <col min="13827" max="13829" width="9" style="20"/>
    <col min="13830" max="13830" width="3.33203125" style="20" customWidth="1"/>
    <col min="13831" max="13833" width="9" style="20"/>
    <col min="13834" max="13834" width="3.33203125" style="20" customWidth="1"/>
    <col min="13835" max="13840" width="9" style="20"/>
    <col min="13841" max="13841" width="3.33203125" style="20" customWidth="1"/>
    <col min="13842" max="13847" width="9" style="20"/>
    <col min="13848" max="13848" width="3.33203125" style="20" customWidth="1"/>
    <col min="13849" max="14080" width="9" style="20"/>
    <col min="14081" max="14081" width="10.5546875" style="20" bestFit="1" customWidth="1"/>
    <col min="14082" max="14082" width="28.109375" style="20" bestFit="1" customWidth="1"/>
    <col min="14083" max="14085" width="9" style="20"/>
    <col min="14086" max="14086" width="3.33203125" style="20" customWidth="1"/>
    <col min="14087" max="14089" width="9" style="20"/>
    <col min="14090" max="14090" width="3.33203125" style="20" customWidth="1"/>
    <col min="14091" max="14096" width="9" style="20"/>
    <col min="14097" max="14097" width="3.33203125" style="20" customWidth="1"/>
    <col min="14098" max="14103" width="9" style="20"/>
    <col min="14104" max="14104" width="3.33203125" style="20" customWidth="1"/>
    <col min="14105" max="14336" width="9" style="20"/>
    <col min="14337" max="14337" width="10.5546875" style="20" bestFit="1" customWidth="1"/>
    <col min="14338" max="14338" width="28.109375" style="20" bestFit="1" customWidth="1"/>
    <col min="14339" max="14341" width="9" style="20"/>
    <col min="14342" max="14342" width="3.33203125" style="20" customWidth="1"/>
    <col min="14343" max="14345" width="9" style="20"/>
    <col min="14346" max="14346" width="3.33203125" style="20" customWidth="1"/>
    <col min="14347" max="14352" width="9" style="20"/>
    <col min="14353" max="14353" width="3.33203125" style="20" customWidth="1"/>
    <col min="14354" max="14359" width="9" style="20"/>
    <col min="14360" max="14360" width="3.33203125" style="20" customWidth="1"/>
    <col min="14361" max="14592" width="9" style="20"/>
    <col min="14593" max="14593" width="10.5546875" style="20" bestFit="1" customWidth="1"/>
    <col min="14594" max="14594" width="28.109375" style="20" bestFit="1" customWidth="1"/>
    <col min="14595" max="14597" width="9" style="20"/>
    <col min="14598" max="14598" width="3.33203125" style="20" customWidth="1"/>
    <col min="14599" max="14601" width="9" style="20"/>
    <col min="14602" max="14602" width="3.33203125" style="20" customWidth="1"/>
    <col min="14603" max="14608" width="9" style="20"/>
    <col min="14609" max="14609" width="3.33203125" style="20" customWidth="1"/>
    <col min="14610" max="14615" width="9" style="20"/>
    <col min="14616" max="14616" width="3.33203125" style="20" customWidth="1"/>
    <col min="14617" max="14848" width="9" style="20"/>
    <col min="14849" max="14849" width="10.5546875" style="20" bestFit="1" customWidth="1"/>
    <col min="14850" max="14850" width="28.109375" style="20" bestFit="1" customWidth="1"/>
    <col min="14851" max="14853" width="9" style="20"/>
    <col min="14854" max="14854" width="3.33203125" style="20" customWidth="1"/>
    <col min="14855" max="14857" width="9" style="20"/>
    <col min="14858" max="14858" width="3.33203125" style="20" customWidth="1"/>
    <col min="14859" max="14864" width="9" style="20"/>
    <col min="14865" max="14865" width="3.33203125" style="20" customWidth="1"/>
    <col min="14866" max="14871" width="9" style="20"/>
    <col min="14872" max="14872" width="3.33203125" style="20" customWidth="1"/>
    <col min="14873" max="15104" width="9" style="20"/>
    <col min="15105" max="15105" width="10.5546875" style="20" bestFit="1" customWidth="1"/>
    <col min="15106" max="15106" width="28.109375" style="20" bestFit="1" customWidth="1"/>
    <col min="15107" max="15109" width="9" style="20"/>
    <col min="15110" max="15110" width="3.33203125" style="20" customWidth="1"/>
    <col min="15111" max="15113" width="9" style="20"/>
    <col min="15114" max="15114" width="3.33203125" style="20" customWidth="1"/>
    <col min="15115" max="15120" width="9" style="20"/>
    <col min="15121" max="15121" width="3.33203125" style="20" customWidth="1"/>
    <col min="15122" max="15127" width="9" style="20"/>
    <col min="15128" max="15128" width="3.33203125" style="20" customWidth="1"/>
    <col min="15129" max="15360" width="9" style="20"/>
    <col min="15361" max="15361" width="10.5546875" style="20" bestFit="1" customWidth="1"/>
    <col min="15362" max="15362" width="28.109375" style="20" bestFit="1" customWidth="1"/>
    <col min="15363" max="15365" width="9" style="20"/>
    <col min="15366" max="15366" width="3.33203125" style="20" customWidth="1"/>
    <col min="15367" max="15369" width="9" style="20"/>
    <col min="15370" max="15370" width="3.33203125" style="20" customWidth="1"/>
    <col min="15371" max="15376" width="9" style="20"/>
    <col min="15377" max="15377" width="3.33203125" style="20" customWidth="1"/>
    <col min="15378" max="15383" width="9" style="20"/>
    <col min="15384" max="15384" width="3.33203125" style="20" customWidth="1"/>
    <col min="15385" max="15616" width="9" style="20"/>
    <col min="15617" max="15617" width="10.5546875" style="20" bestFit="1" customWidth="1"/>
    <col min="15618" max="15618" width="28.109375" style="20" bestFit="1" customWidth="1"/>
    <col min="15619" max="15621" width="9" style="20"/>
    <col min="15622" max="15622" width="3.33203125" style="20" customWidth="1"/>
    <col min="15623" max="15625" width="9" style="20"/>
    <col min="15626" max="15626" width="3.33203125" style="20" customWidth="1"/>
    <col min="15627" max="15632" width="9" style="20"/>
    <col min="15633" max="15633" width="3.33203125" style="20" customWidth="1"/>
    <col min="15634" max="15639" width="9" style="20"/>
    <col min="15640" max="15640" width="3.33203125" style="20" customWidth="1"/>
    <col min="15641" max="15872" width="9" style="20"/>
    <col min="15873" max="15873" width="10.5546875" style="20" bestFit="1" customWidth="1"/>
    <col min="15874" max="15874" width="28.109375" style="20" bestFit="1" customWidth="1"/>
    <col min="15875" max="15877" width="9" style="20"/>
    <col min="15878" max="15878" width="3.33203125" style="20" customWidth="1"/>
    <col min="15879" max="15881" width="9" style="20"/>
    <col min="15882" max="15882" width="3.33203125" style="20" customWidth="1"/>
    <col min="15883" max="15888" width="9" style="20"/>
    <col min="15889" max="15889" width="3.33203125" style="20" customWidth="1"/>
    <col min="15890" max="15895" width="9" style="20"/>
    <col min="15896" max="15896" width="3.33203125" style="20" customWidth="1"/>
    <col min="15897" max="16128" width="9" style="20"/>
    <col min="16129" max="16129" width="10.5546875" style="20" bestFit="1" customWidth="1"/>
    <col min="16130" max="16130" width="28.109375" style="20" bestFit="1" customWidth="1"/>
    <col min="16131" max="16133" width="9" style="20"/>
    <col min="16134" max="16134" width="3.33203125" style="20" customWidth="1"/>
    <col min="16135" max="16137" width="9" style="20"/>
    <col min="16138" max="16138" width="3.33203125" style="20" customWidth="1"/>
    <col min="16139" max="16144" width="9" style="20"/>
    <col min="16145" max="16145" width="3.33203125" style="20" customWidth="1"/>
    <col min="16146" max="16151" width="9" style="20"/>
    <col min="16152" max="16152" width="3.33203125" style="20" customWidth="1"/>
    <col min="16153" max="16384" width="9" style="20"/>
  </cols>
  <sheetData>
    <row r="1" spans="1:33" ht="13.8" thickBot="1">
      <c r="A1" s="26" t="s">
        <v>78</v>
      </c>
      <c r="B1" s="27"/>
      <c r="C1" s="28">
        <v>40202</v>
      </c>
      <c r="D1" s="28">
        <v>40201</v>
      </c>
      <c r="E1" s="28">
        <v>40200</v>
      </c>
      <c r="G1" s="28">
        <v>40211</v>
      </c>
      <c r="H1" s="28">
        <v>40210</v>
      </c>
      <c r="I1" s="28">
        <v>40209</v>
      </c>
      <c r="K1" s="28">
        <v>40109</v>
      </c>
      <c r="L1" s="28">
        <v>40108</v>
      </c>
      <c r="M1" s="28">
        <v>40107</v>
      </c>
      <c r="N1" s="28">
        <v>40102</v>
      </c>
      <c r="O1" s="28">
        <v>40304</v>
      </c>
      <c r="P1" s="28">
        <v>40305</v>
      </c>
      <c r="R1" s="28">
        <v>40008</v>
      </c>
      <c r="S1" s="28">
        <v>40009</v>
      </c>
      <c r="T1" s="28">
        <v>40010</v>
      </c>
      <c r="U1" s="28">
        <v>40011</v>
      </c>
      <c r="V1" s="28">
        <v>40012</v>
      </c>
      <c r="W1" s="30">
        <v>40013</v>
      </c>
      <c r="Y1" s="28">
        <v>41202</v>
      </c>
      <c r="Z1" s="28">
        <v>41201</v>
      </c>
      <c r="AA1" s="28">
        <v>41200</v>
      </c>
      <c r="AB1" s="28">
        <v>41211</v>
      </c>
      <c r="AC1" s="28">
        <v>41210</v>
      </c>
      <c r="AD1" s="28">
        <v>41209</v>
      </c>
      <c r="AE1" s="28">
        <v>49004</v>
      </c>
      <c r="AF1" s="28">
        <v>49005</v>
      </c>
      <c r="AG1" s="28">
        <v>49006</v>
      </c>
    </row>
    <row r="2" spans="1:33" ht="13.8" thickBot="1">
      <c r="B2" s="27"/>
      <c r="C2" s="28" t="s">
        <v>1</v>
      </c>
      <c r="D2" s="28" t="s">
        <v>2</v>
      </c>
      <c r="E2" s="28" t="s">
        <v>3</v>
      </c>
      <c r="G2" s="28" t="s">
        <v>4</v>
      </c>
      <c r="H2" s="28" t="s">
        <v>5</v>
      </c>
      <c r="I2" s="28" t="s">
        <v>6</v>
      </c>
      <c r="K2" s="28" t="s">
        <v>7</v>
      </c>
      <c r="L2" s="28" t="s">
        <v>8</v>
      </c>
      <c r="M2" s="28" t="s">
        <v>9</v>
      </c>
      <c r="N2" s="28" t="s">
        <v>10</v>
      </c>
      <c r="O2" s="28" t="s">
        <v>11</v>
      </c>
      <c r="P2" s="28" t="s">
        <v>12</v>
      </c>
      <c r="R2" s="28" t="s">
        <v>7</v>
      </c>
      <c r="S2" s="28" t="s">
        <v>8</v>
      </c>
      <c r="T2" s="28" t="s">
        <v>9</v>
      </c>
      <c r="U2" s="28" t="s">
        <v>4</v>
      </c>
      <c r="V2" s="28" t="s">
        <v>5</v>
      </c>
      <c r="W2" s="30" t="s">
        <v>6</v>
      </c>
      <c r="Y2" s="28" t="s">
        <v>13</v>
      </c>
      <c r="Z2" s="28" t="s">
        <v>14</v>
      </c>
      <c r="AA2" s="28" t="s">
        <v>15</v>
      </c>
      <c r="AB2" s="28" t="s">
        <v>10</v>
      </c>
      <c r="AC2" s="28" t="s">
        <v>11</v>
      </c>
      <c r="AD2" s="28" t="s">
        <v>12</v>
      </c>
      <c r="AE2" s="28" t="s">
        <v>1</v>
      </c>
      <c r="AF2" s="28" t="s">
        <v>2</v>
      </c>
      <c r="AG2" s="28" t="s">
        <v>3</v>
      </c>
    </row>
    <row r="3" spans="1:33">
      <c r="B3" s="27"/>
      <c r="C3" s="31" t="s">
        <v>16</v>
      </c>
      <c r="D3" s="31" t="s">
        <v>17</v>
      </c>
      <c r="E3" s="31" t="s">
        <v>18</v>
      </c>
      <c r="G3" s="31" t="s">
        <v>19</v>
      </c>
      <c r="H3" s="31" t="s">
        <v>20</v>
      </c>
      <c r="I3" s="32" t="s">
        <v>21</v>
      </c>
      <c r="K3" s="31" t="s">
        <v>22</v>
      </c>
      <c r="L3" s="31" t="s">
        <v>23</v>
      </c>
      <c r="M3" s="32" t="s">
        <v>24</v>
      </c>
      <c r="N3" s="31" t="s">
        <v>25</v>
      </c>
      <c r="O3" s="31" t="s">
        <v>26</v>
      </c>
      <c r="P3" s="31" t="s">
        <v>27</v>
      </c>
      <c r="R3" s="31" t="s">
        <v>28</v>
      </c>
      <c r="S3" s="31" t="s">
        <v>29</v>
      </c>
      <c r="T3" s="31" t="s">
        <v>30</v>
      </c>
      <c r="U3" s="31" t="s">
        <v>31</v>
      </c>
      <c r="V3" s="31" t="s">
        <v>32</v>
      </c>
      <c r="W3" s="33" t="s">
        <v>33</v>
      </c>
      <c r="Y3" s="31" t="s">
        <v>34</v>
      </c>
      <c r="Z3" s="31" t="s">
        <v>35</v>
      </c>
      <c r="AA3" s="31" t="s">
        <v>36</v>
      </c>
      <c r="AB3" s="31" t="s">
        <v>37</v>
      </c>
      <c r="AC3" s="31" t="s">
        <v>38</v>
      </c>
      <c r="AD3" s="28" t="s">
        <v>39</v>
      </c>
      <c r="AE3" s="31" t="s">
        <v>40</v>
      </c>
      <c r="AF3" s="31" t="s">
        <v>41</v>
      </c>
      <c r="AG3" s="31" t="s">
        <v>42</v>
      </c>
    </row>
    <row r="4" spans="1:33">
      <c r="A4" s="34" t="s">
        <v>79</v>
      </c>
      <c r="B4" s="34" t="s">
        <v>80</v>
      </c>
      <c r="C4" s="34" t="s">
        <v>81</v>
      </c>
      <c r="D4" s="34" t="s">
        <v>81</v>
      </c>
      <c r="E4" s="34" t="s">
        <v>81</v>
      </c>
      <c r="G4" s="34" t="s">
        <v>81</v>
      </c>
      <c r="H4" s="34" t="s">
        <v>81</v>
      </c>
      <c r="I4" s="34" t="s">
        <v>81</v>
      </c>
      <c r="K4" s="20" t="s">
        <v>82</v>
      </c>
      <c r="L4" s="20" t="s">
        <v>82</v>
      </c>
      <c r="M4" s="20" t="s">
        <v>82</v>
      </c>
      <c r="N4" s="20" t="s">
        <v>82</v>
      </c>
      <c r="O4" s="20" t="s">
        <v>82</v>
      </c>
      <c r="P4" s="20" t="s">
        <v>82</v>
      </c>
      <c r="R4" s="20" t="s">
        <v>83</v>
      </c>
      <c r="S4" s="20" t="s">
        <v>83</v>
      </c>
      <c r="T4" s="20" t="s">
        <v>83</v>
      </c>
      <c r="U4" s="20" t="s">
        <v>83</v>
      </c>
      <c r="V4" s="20" t="s">
        <v>83</v>
      </c>
      <c r="W4" s="20" t="s">
        <v>83</v>
      </c>
      <c r="Y4" s="20" t="s">
        <v>84</v>
      </c>
      <c r="Z4" s="20" t="s">
        <v>84</v>
      </c>
      <c r="AA4" s="34" t="s">
        <v>84</v>
      </c>
      <c r="AB4" s="20" t="s">
        <v>84</v>
      </c>
      <c r="AC4" s="20" t="s">
        <v>84</v>
      </c>
      <c r="AD4" s="20" t="s">
        <v>84</v>
      </c>
      <c r="AE4" s="20" t="s">
        <v>84</v>
      </c>
      <c r="AF4" s="20" t="s">
        <v>84</v>
      </c>
      <c r="AG4" s="20" t="s">
        <v>84</v>
      </c>
    </row>
    <row r="5" spans="1:33">
      <c r="A5" s="34" t="s">
        <v>79</v>
      </c>
      <c r="B5" s="34" t="s">
        <v>44</v>
      </c>
      <c r="C5" s="20">
        <v>6</v>
      </c>
      <c r="D5" s="20">
        <v>6</v>
      </c>
      <c r="E5" s="20">
        <v>6</v>
      </c>
      <c r="G5" s="20">
        <v>10</v>
      </c>
      <c r="H5" s="20">
        <v>10</v>
      </c>
      <c r="I5" s="20">
        <v>10</v>
      </c>
      <c r="K5" s="20">
        <v>15</v>
      </c>
      <c r="L5" s="20">
        <v>15</v>
      </c>
      <c r="M5" s="20">
        <v>15</v>
      </c>
      <c r="N5" s="20">
        <v>15</v>
      </c>
      <c r="O5" s="20">
        <v>15</v>
      </c>
      <c r="P5" s="20">
        <v>15</v>
      </c>
      <c r="R5" s="20">
        <v>42</v>
      </c>
      <c r="S5" s="20">
        <v>42</v>
      </c>
      <c r="T5" s="20">
        <v>42</v>
      </c>
      <c r="U5" s="20">
        <v>42</v>
      </c>
      <c r="V5" s="20">
        <v>42</v>
      </c>
      <c r="W5" s="20">
        <v>42</v>
      </c>
      <c r="Y5" s="20">
        <v>15</v>
      </c>
      <c r="Z5" s="20">
        <v>15</v>
      </c>
      <c r="AA5" s="20">
        <v>15</v>
      </c>
      <c r="AB5" s="20">
        <v>15</v>
      </c>
      <c r="AC5" s="20">
        <v>15</v>
      </c>
      <c r="AD5" s="20">
        <v>15</v>
      </c>
      <c r="AE5" s="20">
        <v>10</v>
      </c>
      <c r="AF5" s="20">
        <v>10</v>
      </c>
      <c r="AG5" s="20">
        <v>10</v>
      </c>
    </row>
    <row r="6" spans="1:33">
      <c r="A6" s="34" t="s">
        <v>79</v>
      </c>
      <c r="B6" s="20" t="s">
        <v>85</v>
      </c>
      <c r="C6" s="20">
        <v>34</v>
      </c>
      <c r="D6" s="20">
        <v>34</v>
      </c>
      <c r="E6" s="20">
        <v>34</v>
      </c>
      <c r="G6" s="20">
        <v>40</v>
      </c>
      <c r="H6" s="20">
        <v>40</v>
      </c>
      <c r="I6" s="20">
        <v>40</v>
      </c>
      <c r="K6" s="20">
        <v>33</v>
      </c>
      <c r="L6" s="20">
        <v>33</v>
      </c>
      <c r="M6" s="20">
        <v>33</v>
      </c>
      <c r="N6" s="20">
        <v>33</v>
      </c>
      <c r="O6" s="20">
        <v>33</v>
      </c>
      <c r="P6" s="20">
        <v>33</v>
      </c>
      <c r="R6" s="20">
        <v>40</v>
      </c>
      <c r="S6" s="20">
        <v>40</v>
      </c>
      <c r="T6" s="20">
        <v>40</v>
      </c>
      <c r="U6" s="20">
        <v>40</v>
      </c>
      <c r="V6" s="20">
        <v>40</v>
      </c>
      <c r="W6" s="20">
        <v>40</v>
      </c>
      <c r="Y6" s="20">
        <v>40</v>
      </c>
      <c r="Z6" s="20">
        <v>40</v>
      </c>
      <c r="AA6" s="20">
        <v>40</v>
      </c>
      <c r="AB6" s="20">
        <v>40</v>
      </c>
      <c r="AC6" s="20">
        <v>40</v>
      </c>
      <c r="AD6" s="20">
        <v>40</v>
      </c>
      <c r="AE6" s="20">
        <v>45</v>
      </c>
      <c r="AF6" s="20">
        <v>45</v>
      </c>
      <c r="AG6" s="20">
        <v>45</v>
      </c>
    </row>
    <row r="7" spans="1:33">
      <c r="A7" s="34" t="s">
        <v>79</v>
      </c>
      <c r="B7" s="34" t="s">
        <v>43</v>
      </c>
      <c r="C7" s="20">
        <v>714</v>
      </c>
      <c r="D7" s="20">
        <v>578</v>
      </c>
      <c r="E7" s="20">
        <v>476</v>
      </c>
      <c r="G7" s="20">
        <v>480</v>
      </c>
      <c r="H7" s="20">
        <v>380</v>
      </c>
      <c r="I7" s="20">
        <v>320</v>
      </c>
      <c r="K7" s="20">
        <v>781</v>
      </c>
      <c r="L7" s="20">
        <v>614</v>
      </c>
      <c r="M7" s="20">
        <v>530</v>
      </c>
      <c r="N7" s="20">
        <v>495</v>
      </c>
      <c r="O7" s="20">
        <v>396</v>
      </c>
      <c r="P7" s="20">
        <v>328</v>
      </c>
      <c r="R7" s="20">
        <v>978</v>
      </c>
      <c r="S7" s="20">
        <v>789</v>
      </c>
      <c r="T7" s="20">
        <v>661</v>
      </c>
      <c r="U7" s="20">
        <v>618</v>
      </c>
      <c r="V7" s="20">
        <v>494</v>
      </c>
      <c r="W7" s="20">
        <v>412</v>
      </c>
      <c r="Y7" s="20">
        <v>720</v>
      </c>
      <c r="Z7" s="20">
        <v>560</v>
      </c>
      <c r="AA7" s="20">
        <v>480</v>
      </c>
      <c r="AB7" s="20">
        <v>480</v>
      </c>
      <c r="AC7" s="20">
        <v>380</v>
      </c>
      <c r="AD7" s="20">
        <v>320</v>
      </c>
      <c r="AE7" s="20">
        <v>720</v>
      </c>
      <c r="AF7" s="20">
        <v>560</v>
      </c>
      <c r="AG7" s="20">
        <v>480</v>
      </c>
    </row>
    <row r="8" spans="1:33">
      <c r="B8" s="35" t="s">
        <v>86</v>
      </c>
      <c r="C8" s="36"/>
      <c r="D8" s="37"/>
      <c r="E8" s="37"/>
    </row>
    <row r="9" spans="1:33">
      <c r="A9" s="38"/>
      <c r="B9" s="27" t="s">
        <v>77</v>
      </c>
      <c r="C9" s="27">
        <f>'[2]Weekly Use'!B17</f>
        <v>1834.6666666666667</v>
      </c>
      <c r="D9" s="27">
        <f>'[2]Weekly Use'!C17</f>
        <v>2111</v>
      </c>
      <c r="E9" s="27">
        <f>'[2]Weekly Use'!D17</f>
        <v>1652</v>
      </c>
      <c r="G9" s="27">
        <f>'[2]Weekly Use'!F17</f>
        <v>61.75</v>
      </c>
      <c r="H9" s="27">
        <f>'[2]Weekly Use'!G17</f>
        <v>21.35</v>
      </c>
      <c r="I9" s="27">
        <f>'[2]Weekly Use'!H17</f>
        <v>22</v>
      </c>
      <c r="K9" s="27">
        <f>'[2]Weekly Use'!J17</f>
        <v>25.8</v>
      </c>
      <c r="L9" s="27">
        <f>'[2]Weekly Use'!K17</f>
        <v>13.4</v>
      </c>
      <c r="M9" s="27">
        <f>'[2]Weekly Use'!L17</f>
        <v>18.899999999999999</v>
      </c>
      <c r="N9" s="27">
        <f>'[2]Weekly Use'!M17</f>
        <v>11</v>
      </c>
      <c r="O9" s="27">
        <f>'[2]Weekly Use'!N17</f>
        <v>11</v>
      </c>
      <c r="P9" s="27">
        <f>'[2]Weekly Use'!O17</f>
        <v>3.5</v>
      </c>
      <c r="R9" s="27">
        <f>'[2]Weekly Use'!Q17</f>
        <v>37.1</v>
      </c>
      <c r="S9" s="27">
        <f>'[2]Weekly Use'!R17</f>
        <v>9.6</v>
      </c>
      <c r="T9" s="27">
        <f>'[2]Weekly Use'!S17</f>
        <v>27</v>
      </c>
      <c r="U9" s="27">
        <f>'[2]Weekly Use'!T17</f>
        <v>1.1000000000000001</v>
      </c>
      <c r="V9" s="27">
        <f>'[2]Weekly Use'!U17</f>
        <v>1.8</v>
      </c>
      <c r="W9" s="27">
        <f>'[2]Weekly Use'!V17</f>
        <v>0.2</v>
      </c>
      <c r="Y9" s="27">
        <f>'[2]Weekly Use'!X17</f>
        <v>14</v>
      </c>
      <c r="Z9" s="27">
        <f>'[2]Weekly Use'!Y17</f>
        <v>4</v>
      </c>
      <c r="AA9" s="27">
        <f>'[2]Weekly Use'!Z17</f>
        <v>10</v>
      </c>
      <c r="AB9" s="27">
        <f>'[2]Weekly Use'!AA17</f>
        <v>0.4</v>
      </c>
      <c r="AC9" s="27">
        <f>'[2]Weekly Use'!AB17</f>
        <v>0.4</v>
      </c>
      <c r="AD9" s="27">
        <f>'[2]Weekly Use'!AC17</f>
        <v>2.8</v>
      </c>
      <c r="AE9" s="27">
        <f>'[2]Weekly Use'!AD17</f>
        <v>56</v>
      </c>
      <c r="AF9" s="27">
        <f>'[2]Weekly Use'!AE17</f>
        <v>57.5</v>
      </c>
      <c r="AG9" s="27">
        <f>'[2]Weekly Use'!AF17</f>
        <v>43</v>
      </c>
    </row>
    <row r="10" spans="1:33">
      <c r="A10" s="38"/>
      <c r="B10" s="27" t="s">
        <v>87</v>
      </c>
      <c r="C10" s="27">
        <f>'[2]Weekly Use'!B18</f>
        <v>2074</v>
      </c>
      <c r="D10" s="27">
        <f>'[2]Weekly Use'!C18</f>
        <v>2662</v>
      </c>
      <c r="E10" s="27">
        <f>'[2]Weekly Use'!D18</f>
        <v>1972</v>
      </c>
      <c r="G10" s="27">
        <f>'[2]Weekly Use'!F18</f>
        <v>95</v>
      </c>
      <c r="H10" s="27">
        <f>'[2]Weekly Use'!G18</f>
        <v>61</v>
      </c>
      <c r="I10" s="27">
        <f>'[2]Weekly Use'!H18</f>
        <v>46</v>
      </c>
      <c r="K10" s="27">
        <f>'[2]Weekly Use'!J18</f>
        <v>45</v>
      </c>
      <c r="L10" s="27">
        <f>'[2]Weekly Use'!K18</f>
        <v>21</v>
      </c>
      <c r="M10" s="27">
        <f>'[2]Weekly Use'!L18</f>
        <v>25</v>
      </c>
      <c r="N10" s="27">
        <f>'[2]Weekly Use'!M18</f>
        <v>11</v>
      </c>
      <c r="O10" s="27">
        <f>'[2]Weekly Use'!N18</f>
        <v>34</v>
      </c>
      <c r="P10" s="27">
        <f>'[2]Weekly Use'!O18</f>
        <v>13</v>
      </c>
      <c r="R10" s="27">
        <f>'[2]Weekly Use'!Q18</f>
        <v>14</v>
      </c>
      <c r="S10" s="27">
        <f>'[2]Weekly Use'!R18</f>
        <v>15</v>
      </c>
      <c r="T10" s="27">
        <f>'[2]Weekly Use'!S18</f>
        <v>17</v>
      </c>
      <c r="U10" s="27">
        <f>'[2]Weekly Use'!T18</f>
        <v>3</v>
      </c>
      <c r="V10" s="27">
        <f>'[2]Weekly Use'!U18</f>
        <v>1</v>
      </c>
      <c r="W10" s="27">
        <f>'[2]Weekly Use'!V18</f>
        <v>2</v>
      </c>
      <c r="Y10" s="27">
        <f>'[2]Weekly Use'!X18</f>
        <v>12</v>
      </c>
      <c r="Z10" s="27">
        <f>'[2]Weekly Use'!Y18</f>
        <v>17</v>
      </c>
      <c r="AA10" s="27">
        <f>'[2]Weekly Use'!Z18</f>
        <v>7</v>
      </c>
      <c r="AB10" s="27">
        <f>'[2]Weekly Use'!AA18</f>
        <v>18</v>
      </c>
      <c r="AC10" s="27">
        <f>'[2]Weekly Use'!AB18</f>
        <v>4</v>
      </c>
      <c r="AD10" s="27">
        <f>'[2]Weekly Use'!AC18</f>
        <v>2</v>
      </c>
      <c r="AE10" s="27">
        <f>'[2]Weekly Use'!AD18</f>
        <v>80</v>
      </c>
      <c r="AF10" s="27">
        <f>'[2]Weekly Use'!AE18</f>
        <v>88</v>
      </c>
      <c r="AG10" s="27">
        <f>'[2]Weekly Use'!AF18</f>
        <v>59</v>
      </c>
    </row>
    <row r="11" spans="1:33">
      <c r="A11" s="38"/>
      <c r="B11" s="27" t="s">
        <v>46</v>
      </c>
      <c r="C11" s="27">
        <f>'[2]Weekly Use'!B19</f>
        <v>385.46768130847624</v>
      </c>
      <c r="D11" s="27">
        <f>'[2]Weekly Use'!C19</f>
        <v>328</v>
      </c>
      <c r="E11" s="27">
        <f>'[2]Weekly Use'!D19</f>
        <v>255</v>
      </c>
      <c r="G11" s="27">
        <f>'[2]Weekly Use'!F19</f>
        <v>10</v>
      </c>
      <c r="H11" s="27">
        <f>'[2]Weekly Use'!G19</f>
        <v>10</v>
      </c>
      <c r="I11" s="27">
        <f>'[2]Weekly Use'!H19</f>
        <v>10</v>
      </c>
      <c r="K11" s="27">
        <f>'[2]Weekly Use'!J19</f>
        <v>5</v>
      </c>
      <c r="L11" s="27">
        <f>'[2]Weekly Use'!K19</f>
        <v>5</v>
      </c>
      <c r="M11" s="27">
        <f>'[2]Weekly Use'!L19</f>
        <v>5</v>
      </c>
      <c r="N11" s="27">
        <f>'[2]Weekly Use'!M19</f>
        <v>5</v>
      </c>
      <c r="O11" s="27">
        <f>'[2]Weekly Use'!N19</f>
        <v>17</v>
      </c>
      <c r="P11" s="27">
        <f>'[2]Weekly Use'!O19</f>
        <v>5</v>
      </c>
      <c r="R11" s="27">
        <f>'[2]Weekly Use'!Q19</f>
        <v>3</v>
      </c>
      <c r="S11" s="27">
        <f>'[2]Weekly Use'!R19</f>
        <v>10</v>
      </c>
      <c r="T11" s="27">
        <f>'[2]Weekly Use'!S19</f>
        <v>10</v>
      </c>
      <c r="U11" s="27">
        <f>'[2]Weekly Use'!T19</f>
        <v>5</v>
      </c>
      <c r="V11" s="27">
        <f>'[2]Weekly Use'!U19</f>
        <v>5</v>
      </c>
      <c r="W11" s="27">
        <f>'[2]Weekly Use'!V19</f>
        <v>5</v>
      </c>
      <c r="Y11" s="27">
        <f>'[2]Weekly Use'!X19</f>
        <v>5</v>
      </c>
      <c r="Z11" s="27">
        <f>'[2]Weekly Use'!Y19</f>
        <v>3</v>
      </c>
      <c r="AA11" s="27">
        <f>'[2]Weekly Use'!Z19</f>
        <v>3</v>
      </c>
      <c r="AB11" s="27">
        <f>'[2]Weekly Use'!AA19</f>
        <v>5</v>
      </c>
      <c r="AC11" s="27">
        <f>'[2]Weekly Use'!AB19</f>
        <v>5</v>
      </c>
      <c r="AD11" s="27">
        <f>'[2]Weekly Use'!AC19</f>
        <v>3</v>
      </c>
      <c r="AE11" s="27">
        <f>'[2]Weekly Use'!AD19</f>
        <v>13</v>
      </c>
      <c r="AF11" s="27">
        <f>'[2]Weekly Use'!AE19</f>
        <v>14</v>
      </c>
      <c r="AG11" s="27">
        <f>'[2]Weekly Use'!AF19</f>
        <v>10</v>
      </c>
    </row>
    <row r="13" spans="1:33">
      <c r="A13" s="34" t="s">
        <v>88</v>
      </c>
      <c r="B13" s="20" t="s">
        <v>89</v>
      </c>
      <c r="C13" s="20">
        <v>13</v>
      </c>
      <c r="D13" s="20">
        <v>13</v>
      </c>
      <c r="E13" s="20">
        <v>13</v>
      </c>
      <c r="G13" s="20">
        <v>13</v>
      </c>
      <c r="H13" s="20">
        <v>13</v>
      </c>
      <c r="I13" s="20">
        <v>13</v>
      </c>
      <c r="K13" s="20">
        <v>13</v>
      </c>
      <c r="L13" s="20">
        <v>13</v>
      </c>
      <c r="M13" s="20">
        <v>13</v>
      </c>
      <c r="N13" s="20">
        <v>13</v>
      </c>
      <c r="O13" s="20">
        <v>13</v>
      </c>
      <c r="P13" s="20">
        <v>13</v>
      </c>
      <c r="R13" s="20">
        <v>13</v>
      </c>
      <c r="S13" s="20">
        <v>13</v>
      </c>
      <c r="T13" s="20">
        <v>13</v>
      </c>
      <c r="U13" s="20">
        <v>13</v>
      </c>
      <c r="V13" s="20">
        <v>13</v>
      </c>
      <c r="W13" s="20">
        <v>13</v>
      </c>
      <c r="Y13" s="20">
        <v>13</v>
      </c>
      <c r="Z13" s="20">
        <v>13</v>
      </c>
      <c r="AA13" s="20">
        <v>13</v>
      </c>
      <c r="AB13" s="20">
        <v>13</v>
      </c>
      <c r="AC13" s="20">
        <v>13</v>
      </c>
      <c r="AD13" s="20">
        <v>13</v>
      </c>
      <c r="AE13" s="20">
        <v>13</v>
      </c>
      <c r="AF13" s="20">
        <v>13</v>
      </c>
      <c r="AG13" s="20">
        <v>13</v>
      </c>
    </row>
    <row r="14" spans="1:33">
      <c r="A14" s="34" t="s">
        <v>88</v>
      </c>
      <c r="B14" s="20" t="s">
        <v>90</v>
      </c>
      <c r="C14" s="39">
        <v>0.99</v>
      </c>
      <c r="D14" s="39">
        <v>0.99</v>
      </c>
      <c r="E14" s="39">
        <v>0.99</v>
      </c>
      <c r="G14" s="39">
        <v>0.99</v>
      </c>
      <c r="H14" s="39">
        <v>0.99</v>
      </c>
      <c r="I14" s="39">
        <v>0.99</v>
      </c>
      <c r="K14" s="39">
        <v>0.99</v>
      </c>
      <c r="L14" s="39">
        <v>0.99</v>
      </c>
      <c r="M14" s="39">
        <v>0.99</v>
      </c>
      <c r="N14" s="39">
        <v>0.99</v>
      </c>
      <c r="O14" s="39">
        <v>0.99</v>
      </c>
      <c r="P14" s="39">
        <v>0.99</v>
      </c>
      <c r="R14" s="39">
        <v>0.99</v>
      </c>
      <c r="S14" s="39">
        <v>0.99</v>
      </c>
      <c r="T14" s="39">
        <v>0.99</v>
      </c>
      <c r="U14" s="39">
        <v>0.99</v>
      </c>
      <c r="V14" s="39">
        <v>0.99</v>
      </c>
      <c r="W14" s="39">
        <v>0.99</v>
      </c>
      <c r="Y14" s="39">
        <v>0.99</v>
      </c>
      <c r="Z14" s="39">
        <v>0.99</v>
      </c>
      <c r="AA14" s="39">
        <v>0.99</v>
      </c>
      <c r="AB14" s="39">
        <v>0.99</v>
      </c>
      <c r="AC14" s="39">
        <v>0.99</v>
      </c>
      <c r="AD14" s="39">
        <v>0.99</v>
      </c>
      <c r="AE14" s="39">
        <v>0.99</v>
      </c>
      <c r="AF14" s="39">
        <v>0.99</v>
      </c>
      <c r="AG14" s="39">
        <v>0.99</v>
      </c>
    </row>
    <row r="15" spans="1:33">
      <c r="A15" s="34" t="s">
        <v>88</v>
      </c>
      <c r="B15" s="34" t="s">
        <v>91</v>
      </c>
      <c r="C15" s="39">
        <v>0.95</v>
      </c>
      <c r="D15" s="39">
        <v>0.95</v>
      </c>
      <c r="E15" s="39">
        <v>0.95</v>
      </c>
      <c r="G15" s="39">
        <v>0.95</v>
      </c>
      <c r="H15" s="39">
        <v>0.95</v>
      </c>
      <c r="I15" s="39">
        <v>0.95</v>
      </c>
      <c r="K15" s="39">
        <v>0.95</v>
      </c>
      <c r="L15" s="39">
        <v>0.95</v>
      </c>
      <c r="M15" s="39">
        <v>0.95</v>
      </c>
      <c r="N15" s="39">
        <v>0.95</v>
      </c>
      <c r="O15" s="39">
        <v>0.95</v>
      </c>
      <c r="P15" s="39">
        <v>0.95</v>
      </c>
      <c r="R15" s="39">
        <v>0.95</v>
      </c>
      <c r="S15" s="39">
        <v>0.95</v>
      </c>
      <c r="T15" s="39">
        <v>0.95</v>
      </c>
      <c r="U15" s="39">
        <v>0.95</v>
      </c>
      <c r="V15" s="39">
        <v>0.95</v>
      </c>
      <c r="W15" s="39">
        <v>0.95</v>
      </c>
      <c r="Y15" s="39">
        <v>0.95</v>
      </c>
      <c r="Z15" s="39">
        <v>0.95</v>
      </c>
      <c r="AA15" s="39">
        <v>0.95</v>
      </c>
      <c r="AB15" s="39">
        <v>0.95</v>
      </c>
      <c r="AC15" s="39">
        <v>0.95</v>
      </c>
      <c r="AD15" s="39">
        <v>0.95</v>
      </c>
      <c r="AE15" s="39">
        <v>0.95</v>
      </c>
      <c r="AF15" s="39">
        <v>0.95</v>
      </c>
      <c r="AG15" s="39">
        <v>0.95</v>
      </c>
    </row>
    <row r="16" spans="1:33">
      <c r="B16" s="40" t="s">
        <v>92</v>
      </c>
      <c r="C16" s="27">
        <f>_xlfn.T.INV(C14,C13-1)</f>
        <v>2.6809979931209136</v>
      </c>
      <c r="D16" s="27">
        <f>_xlfn.T.INV(D14,D13-1)</f>
        <v>2.6809979931209136</v>
      </c>
      <c r="E16" s="27">
        <f>_xlfn.T.INV(E14,E13-1)</f>
        <v>2.6809979931209136</v>
      </c>
      <c r="G16" s="27">
        <f>_xlfn.T.INV(G14,G13-1)</f>
        <v>2.6809979931209136</v>
      </c>
      <c r="H16" s="27">
        <f>_xlfn.T.INV(H14,H13-1)</f>
        <v>2.6809979931209136</v>
      </c>
      <c r="I16" s="27">
        <f>_xlfn.T.INV(I14,I13-1)</f>
        <v>2.6809979931209136</v>
      </c>
      <c r="K16" s="27">
        <f t="shared" ref="K16:P16" si="0">_xlfn.T.INV(K14,K13-1)</f>
        <v>2.6809979931209136</v>
      </c>
      <c r="L16" s="27">
        <f t="shared" si="0"/>
        <v>2.6809979931209136</v>
      </c>
      <c r="M16" s="27">
        <f t="shared" si="0"/>
        <v>2.6809979931209136</v>
      </c>
      <c r="N16" s="27">
        <f t="shared" si="0"/>
        <v>2.6809979931209136</v>
      </c>
      <c r="O16" s="27">
        <f t="shared" si="0"/>
        <v>2.6809979931209136</v>
      </c>
      <c r="P16" s="27">
        <f t="shared" si="0"/>
        <v>2.6809979931209136</v>
      </c>
      <c r="R16" s="27">
        <f t="shared" ref="R16:W16" si="1">_xlfn.T.INV(R14,R13-1)</f>
        <v>2.6809979931209136</v>
      </c>
      <c r="S16" s="27">
        <f t="shared" si="1"/>
        <v>2.6809979931209136</v>
      </c>
      <c r="T16" s="27">
        <f t="shared" si="1"/>
        <v>2.6809979931209136</v>
      </c>
      <c r="U16" s="27">
        <f t="shared" si="1"/>
        <v>2.6809979931209136</v>
      </c>
      <c r="V16" s="27">
        <f t="shared" si="1"/>
        <v>2.6809979931209136</v>
      </c>
      <c r="W16" s="27">
        <f t="shared" si="1"/>
        <v>2.6809979931209136</v>
      </c>
      <c r="Y16" s="27">
        <f t="shared" ref="Y16:AG16" si="2">_xlfn.T.INV(Y14,Y13-1)</f>
        <v>2.6809979931209136</v>
      </c>
      <c r="Z16" s="27">
        <f t="shared" si="2"/>
        <v>2.6809979931209136</v>
      </c>
      <c r="AA16" s="27">
        <f t="shared" si="2"/>
        <v>2.6809979931209136</v>
      </c>
      <c r="AB16" s="27">
        <f t="shared" si="2"/>
        <v>2.6809979931209136</v>
      </c>
      <c r="AC16" s="27">
        <f t="shared" si="2"/>
        <v>2.6809979931209136</v>
      </c>
      <c r="AD16" s="27">
        <f t="shared" si="2"/>
        <v>2.6809979931209136</v>
      </c>
      <c r="AE16" s="27">
        <f t="shared" si="2"/>
        <v>2.6809979931209136</v>
      </c>
      <c r="AF16" s="27">
        <f t="shared" si="2"/>
        <v>2.6809979931209136</v>
      </c>
      <c r="AG16" s="27">
        <f t="shared" si="2"/>
        <v>2.6809979931209136</v>
      </c>
    </row>
    <row r="17" spans="1:33">
      <c r="B17" s="40" t="s">
        <v>93</v>
      </c>
      <c r="C17" s="27">
        <f>_xlfn.T.INV(C15,C13-1)</f>
        <v>1.7822875556493194</v>
      </c>
      <c r="D17" s="27">
        <f t="shared" ref="D17:AG17" si="3">_xlfn.T.INV(D15,D13-1)</f>
        <v>1.7822875556493194</v>
      </c>
      <c r="E17" s="27">
        <f t="shared" si="3"/>
        <v>1.7822875556493194</v>
      </c>
      <c r="G17" s="27">
        <f t="shared" si="3"/>
        <v>1.7822875556493194</v>
      </c>
      <c r="H17" s="27">
        <f t="shared" si="3"/>
        <v>1.7822875556493194</v>
      </c>
      <c r="I17" s="27">
        <f t="shared" si="3"/>
        <v>1.7822875556493194</v>
      </c>
      <c r="K17" s="27">
        <f t="shared" si="3"/>
        <v>1.7822875556493194</v>
      </c>
      <c r="L17" s="27">
        <f t="shared" si="3"/>
        <v>1.7822875556493194</v>
      </c>
      <c r="M17" s="27">
        <f t="shared" si="3"/>
        <v>1.7822875556493194</v>
      </c>
      <c r="N17" s="27">
        <f t="shared" si="3"/>
        <v>1.7822875556493194</v>
      </c>
      <c r="O17" s="27">
        <f t="shared" si="3"/>
        <v>1.7822875556493194</v>
      </c>
      <c r="P17" s="27">
        <f t="shared" si="3"/>
        <v>1.7822875556493194</v>
      </c>
      <c r="R17" s="27">
        <f t="shared" si="3"/>
        <v>1.7822875556493194</v>
      </c>
      <c r="S17" s="27">
        <f t="shared" si="3"/>
        <v>1.7822875556493194</v>
      </c>
      <c r="T17" s="27">
        <f t="shared" si="3"/>
        <v>1.7822875556493194</v>
      </c>
      <c r="U17" s="27">
        <f t="shared" si="3"/>
        <v>1.7822875556493194</v>
      </c>
      <c r="V17" s="27">
        <f t="shared" si="3"/>
        <v>1.7822875556493194</v>
      </c>
      <c r="W17" s="27">
        <f t="shared" si="3"/>
        <v>1.7822875556493194</v>
      </c>
      <c r="Y17" s="27">
        <f t="shared" si="3"/>
        <v>1.7822875556493194</v>
      </c>
      <c r="Z17" s="27">
        <f t="shared" si="3"/>
        <v>1.7822875556493194</v>
      </c>
      <c r="AA17" s="27">
        <f t="shared" si="3"/>
        <v>1.7822875556493194</v>
      </c>
      <c r="AB17" s="27">
        <f t="shared" si="3"/>
        <v>1.7822875556493194</v>
      </c>
      <c r="AC17" s="27">
        <f t="shared" si="3"/>
        <v>1.7822875556493194</v>
      </c>
      <c r="AD17" s="27">
        <f t="shared" si="3"/>
        <v>1.7822875556493194</v>
      </c>
      <c r="AE17" s="27">
        <f t="shared" si="3"/>
        <v>1.7822875556493194</v>
      </c>
      <c r="AF17" s="27">
        <f t="shared" si="3"/>
        <v>1.7822875556493194</v>
      </c>
      <c r="AG17" s="27">
        <f t="shared" si="3"/>
        <v>1.7822875556493194</v>
      </c>
    </row>
    <row r="19" spans="1:33">
      <c r="B19" s="38" t="s">
        <v>94</v>
      </c>
      <c r="C19" s="27">
        <f>C5/5*C9</f>
        <v>2201.6</v>
      </c>
      <c r="D19" s="27">
        <f>D5/5*D9</f>
        <v>2533.1999999999998</v>
      </c>
      <c r="E19" s="27">
        <f>E5/5*E9</f>
        <v>1982.3999999999999</v>
      </c>
      <c r="G19" s="27">
        <f>G5/5*G9</f>
        <v>123.5</v>
      </c>
      <c r="H19" s="27">
        <f>H5/5*H9</f>
        <v>42.7</v>
      </c>
      <c r="I19" s="27">
        <f>I5/5*I9</f>
        <v>44</v>
      </c>
      <c r="K19" s="27">
        <f t="shared" ref="K19:P19" si="4">K5/5*K9</f>
        <v>77.400000000000006</v>
      </c>
      <c r="L19" s="27">
        <f t="shared" si="4"/>
        <v>40.200000000000003</v>
      </c>
      <c r="M19" s="27">
        <f t="shared" si="4"/>
        <v>56.699999999999996</v>
      </c>
      <c r="N19" s="27">
        <f t="shared" si="4"/>
        <v>33</v>
      </c>
      <c r="O19" s="27">
        <f t="shared" si="4"/>
        <v>33</v>
      </c>
      <c r="P19" s="27">
        <f t="shared" si="4"/>
        <v>10.5</v>
      </c>
      <c r="R19" s="27">
        <f t="shared" ref="R19:W19" si="5">R5/5*R9</f>
        <v>311.64000000000004</v>
      </c>
      <c r="S19" s="27">
        <f t="shared" si="5"/>
        <v>80.64</v>
      </c>
      <c r="T19" s="27">
        <f t="shared" si="5"/>
        <v>226.8</v>
      </c>
      <c r="U19" s="27">
        <f t="shared" si="5"/>
        <v>9.240000000000002</v>
      </c>
      <c r="V19" s="27">
        <f t="shared" si="5"/>
        <v>15.120000000000001</v>
      </c>
      <c r="W19" s="27">
        <f t="shared" si="5"/>
        <v>1.6800000000000002</v>
      </c>
      <c r="Y19" s="27">
        <f t="shared" ref="Y19:AG19" si="6">Y5/5*Y9</f>
        <v>42</v>
      </c>
      <c r="Z19" s="27">
        <f t="shared" si="6"/>
        <v>12</v>
      </c>
      <c r="AA19" s="27">
        <f t="shared" si="6"/>
        <v>30</v>
      </c>
      <c r="AB19" s="27">
        <f t="shared" si="6"/>
        <v>1.2000000000000002</v>
      </c>
      <c r="AC19" s="27">
        <f t="shared" si="6"/>
        <v>1.2000000000000002</v>
      </c>
      <c r="AD19" s="27">
        <f t="shared" si="6"/>
        <v>8.3999999999999986</v>
      </c>
      <c r="AE19" s="27">
        <f t="shared" si="6"/>
        <v>112</v>
      </c>
      <c r="AF19" s="27">
        <f t="shared" si="6"/>
        <v>115</v>
      </c>
      <c r="AG19" s="27">
        <f t="shared" si="6"/>
        <v>86</v>
      </c>
    </row>
    <row r="20" spans="1:33">
      <c r="B20" s="40" t="s">
        <v>48</v>
      </c>
      <c r="C20" s="27">
        <f>CEILING(MAX(C10*C5/5,C9*C5/5+C16*C11*SQRT(C5/5))+C19,C6)</f>
        <v>5542</v>
      </c>
      <c r="D20" s="27">
        <f>CEILING(MAX(D10*D5/5,D9*D5/5+D16*D11*SQRT(D5/5))+D19,D6)</f>
        <v>6052</v>
      </c>
      <c r="E20" s="27">
        <f>CEILING(MAX(E10*E5/5,E9*E5/5+E16*E11*SQRT(E5/5))+E19,E6)</f>
        <v>4726</v>
      </c>
      <c r="G20" s="27">
        <f>CEILING(MAX(G10*G5/5,G9*G5/5+G16*G11*SQRT(G5/5))+G19,G6)</f>
        <v>320</v>
      </c>
      <c r="H20" s="27">
        <f>CEILING(MAX(H10*H5/5,H9*H5/5+H16*H11*SQRT(H5/5))+H19,H6)</f>
        <v>200</v>
      </c>
      <c r="I20" s="27">
        <f>CEILING(MAX(I10*I5/5,I9*I5/5+I16*I11*SQRT(I5/5))+I19,I6)</f>
        <v>160</v>
      </c>
      <c r="K20" s="27">
        <f t="shared" ref="K20:P20" si="7">CEILING(MAX(K10*K5/5,K9*K5/5+K16*K11*SQRT(K5/5))+K19,K6)</f>
        <v>231</v>
      </c>
      <c r="L20" s="27">
        <f t="shared" si="7"/>
        <v>132</v>
      </c>
      <c r="M20" s="27">
        <f t="shared" si="7"/>
        <v>165</v>
      </c>
      <c r="N20" s="27">
        <f t="shared" si="7"/>
        <v>99</v>
      </c>
      <c r="O20" s="27">
        <f t="shared" si="7"/>
        <v>165</v>
      </c>
      <c r="P20" s="27">
        <f t="shared" si="7"/>
        <v>66</v>
      </c>
      <c r="R20" s="27">
        <f t="shared" ref="R20:W20" si="8">CEILING(MAX(R10*R5/5,R9*R5/5+R16*R11*SQRT(R5/5))+R19,R6)</f>
        <v>680</v>
      </c>
      <c r="S20" s="27">
        <f t="shared" si="8"/>
        <v>240</v>
      </c>
      <c r="T20" s="27">
        <f t="shared" si="8"/>
        <v>560</v>
      </c>
      <c r="U20" s="27">
        <f t="shared" si="8"/>
        <v>80</v>
      </c>
      <c r="V20" s="27">
        <f t="shared" si="8"/>
        <v>80</v>
      </c>
      <c r="W20" s="27">
        <f t="shared" si="8"/>
        <v>80</v>
      </c>
      <c r="Y20" s="27">
        <f t="shared" ref="Y20:AG20" si="9">CEILING(MAX(Y10*Y5/5,Y9*Y5/5+Y16*Y11*SQRT(Y5/5))+Y19,Y6)</f>
        <v>120</v>
      </c>
      <c r="Z20" s="27">
        <f t="shared" si="9"/>
        <v>80</v>
      </c>
      <c r="AA20" s="27">
        <f t="shared" si="9"/>
        <v>80</v>
      </c>
      <c r="AB20" s="27">
        <f t="shared" si="9"/>
        <v>80</v>
      </c>
      <c r="AC20" s="27">
        <f t="shared" si="9"/>
        <v>40</v>
      </c>
      <c r="AD20" s="27">
        <f t="shared" si="9"/>
        <v>40</v>
      </c>
      <c r="AE20" s="27">
        <f t="shared" si="9"/>
        <v>315</v>
      </c>
      <c r="AF20" s="27">
        <f t="shared" si="9"/>
        <v>315</v>
      </c>
      <c r="AG20" s="27">
        <f t="shared" si="9"/>
        <v>225</v>
      </c>
    </row>
    <row r="21" spans="1:33">
      <c r="B21" s="40" t="s">
        <v>49</v>
      </c>
      <c r="C21" s="27">
        <f>FLOOR(C23+C9-MIN(C17*C11*SQRT(C5/5),0),C6)</f>
        <v>7344</v>
      </c>
      <c r="D21" s="27">
        <f>FLOOR(D23+D9-MIN(D17*D11*SQRT(D5/5),0),D6)</f>
        <v>8636</v>
      </c>
      <c r="E21" s="27">
        <f>FLOOR(E23+E9-MIN(E17*E11*SQRT(E5/5),0),E6)</f>
        <v>8160</v>
      </c>
      <c r="G21" s="27">
        <f>FLOOR(G23+G9-MIN(G17*G11*SQRT(G5/5),0),G6)</f>
        <v>640</v>
      </c>
      <c r="H21" s="27">
        <f>FLOOR(H23+H9-MIN(H17*H11*SQRT(H5/5),0),H6)</f>
        <v>400</v>
      </c>
      <c r="I21" s="27">
        <f>FLOOR(I23+I9-MIN(I17*I11*SQRT(I5/5),0),I6)</f>
        <v>360</v>
      </c>
      <c r="K21" s="27">
        <f t="shared" ref="K21:P21" si="10">FLOOR(K23+K9-MIN(K17*K11*SQRT(K5/5),0),K6)</f>
        <v>396</v>
      </c>
      <c r="L21" s="27">
        <f t="shared" si="10"/>
        <v>198</v>
      </c>
      <c r="M21" s="27">
        <f t="shared" si="10"/>
        <v>297</v>
      </c>
      <c r="N21" s="27">
        <f t="shared" si="10"/>
        <v>396</v>
      </c>
      <c r="O21" s="27">
        <f t="shared" si="10"/>
        <v>198</v>
      </c>
      <c r="P21" s="27">
        <f t="shared" si="10"/>
        <v>198</v>
      </c>
      <c r="R21" s="27">
        <f t="shared" ref="R21:AF21" si="11">FLOOR(R23+R9-MIN(R17*R11*SQRT(R5/5),0),R6)</f>
        <v>880</v>
      </c>
      <c r="S21" s="27">
        <f t="shared" si="11"/>
        <v>400</v>
      </c>
      <c r="T21" s="27">
        <f t="shared" si="11"/>
        <v>720</v>
      </c>
      <c r="U21" s="27">
        <f t="shared" si="11"/>
        <v>200</v>
      </c>
      <c r="V21" s="27">
        <f t="shared" si="11"/>
        <v>200</v>
      </c>
      <c r="W21" s="27">
        <f t="shared" si="11"/>
        <v>200</v>
      </c>
      <c r="Y21" s="27">
        <f t="shared" si="11"/>
        <v>160</v>
      </c>
      <c r="Z21" s="27">
        <f t="shared" si="11"/>
        <v>160</v>
      </c>
      <c r="AA21" s="27">
        <f t="shared" si="11"/>
        <v>160</v>
      </c>
      <c r="AB21" s="27">
        <f t="shared" si="11"/>
        <v>160</v>
      </c>
      <c r="AC21" s="27">
        <f>FLOOR(AC23+AC9-MIN(AC17*AC11*SQRT(AC5/5),0),AC6)</f>
        <v>80</v>
      </c>
      <c r="AD21" s="27">
        <f t="shared" si="11"/>
        <v>80</v>
      </c>
      <c r="AE21" s="27">
        <f t="shared" si="11"/>
        <v>495</v>
      </c>
      <c r="AF21" s="27">
        <f t="shared" si="11"/>
        <v>495</v>
      </c>
      <c r="AG21" s="27">
        <f>FLOOR(AG23+AG9-MIN(AG17*AG11*SQRT(AG5/5),0),AG6)</f>
        <v>450</v>
      </c>
    </row>
    <row r="23" spans="1:33">
      <c r="A23" s="41" t="s">
        <v>95</v>
      </c>
      <c r="B23" s="20" t="s">
        <v>96</v>
      </c>
      <c r="C23" s="42">
        <v>5520</v>
      </c>
      <c r="D23" s="42">
        <v>6528</v>
      </c>
      <c r="E23" s="42">
        <v>6528</v>
      </c>
      <c r="G23" s="42">
        <v>600</v>
      </c>
      <c r="H23" s="42">
        <v>400</v>
      </c>
      <c r="I23" s="42">
        <v>360</v>
      </c>
      <c r="K23" s="42">
        <v>396</v>
      </c>
      <c r="L23" s="42">
        <v>198</v>
      </c>
      <c r="M23" s="42">
        <v>297</v>
      </c>
      <c r="N23" s="42">
        <v>396</v>
      </c>
      <c r="O23" s="42">
        <f>198</f>
        <v>198</v>
      </c>
      <c r="P23" s="42">
        <v>198</v>
      </c>
      <c r="R23" s="42">
        <v>850</v>
      </c>
      <c r="S23" s="42">
        <v>411</v>
      </c>
      <c r="T23" s="42">
        <v>725</v>
      </c>
      <c r="U23" s="42">
        <v>200</v>
      </c>
      <c r="V23" s="42">
        <v>200</v>
      </c>
      <c r="W23" s="42">
        <v>200</v>
      </c>
      <c r="Y23" s="42">
        <v>160</v>
      </c>
      <c r="Z23" s="42">
        <v>160</v>
      </c>
      <c r="AA23" s="42">
        <v>160</v>
      </c>
      <c r="AB23" s="42">
        <v>160</v>
      </c>
      <c r="AC23" s="42">
        <v>80</v>
      </c>
      <c r="AD23" s="42">
        <v>80</v>
      </c>
      <c r="AE23" s="42">
        <f>45*10</f>
        <v>450</v>
      </c>
      <c r="AF23" s="42">
        <f>45*10</f>
        <v>450</v>
      </c>
      <c r="AG23" s="42">
        <f>45*10</f>
        <v>450</v>
      </c>
    </row>
    <row r="24" spans="1:33">
      <c r="B24" s="43" t="s">
        <v>97</v>
      </c>
      <c r="C24" s="27">
        <f>ROUND((C21-C20)/C9,1)</f>
        <v>1</v>
      </c>
      <c r="D24" s="27">
        <f>ROUND((D21-D20)/D9,1)</f>
        <v>1.2</v>
      </c>
      <c r="E24" s="27">
        <f>ROUND((E21-E20)/E9,1)</f>
        <v>2.1</v>
      </c>
      <c r="G24" s="27">
        <f>ROUND((G21-G20)/G9,1)</f>
        <v>5.2</v>
      </c>
      <c r="H24" s="27">
        <f>ROUND((H21-H20)/H9,1)</f>
        <v>9.4</v>
      </c>
      <c r="I24" s="27">
        <f>ROUND((I21-I20)/I9,1)</f>
        <v>9.1</v>
      </c>
      <c r="K24" s="27">
        <f t="shared" ref="K24:P24" si="12">ROUND((K21-K20)/K9,1)</f>
        <v>6.4</v>
      </c>
      <c r="L24" s="27">
        <f t="shared" si="12"/>
        <v>4.9000000000000004</v>
      </c>
      <c r="M24" s="27">
        <f t="shared" si="12"/>
        <v>7</v>
      </c>
      <c r="N24" s="27">
        <f t="shared" si="12"/>
        <v>27</v>
      </c>
      <c r="O24" s="27">
        <f t="shared" si="12"/>
        <v>3</v>
      </c>
      <c r="P24" s="27">
        <f t="shared" si="12"/>
        <v>37.700000000000003</v>
      </c>
      <c r="R24" s="27">
        <f t="shared" ref="R24:W24" si="13">ROUND((R21-R20)/R9,1)</f>
        <v>5.4</v>
      </c>
      <c r="S24" s="27">
        <f t="shared" si="13"/>
        <v>16.7</v>
      </c>
      <c r="T24" s="27">
        <f t="shared" si="13"/>
        <v>5.9</v>
      </c>
      <c r="U24" s="27">
        <f t="shared" si="13"/>
        <v>109.1</v>
      </c>
      <c r="V24" s="27">
        <f t="shared" si="13"/>
        <v>66.7</v>
      </c>
      <c r="W24" s="27">
        <f t="shared" si="13"/>
        <v>600</v>
      </c>
      <c r="Y24" s="27">
        <f t="shared" ref="Y24:AG24" si="14">ROUND((Y21-Y20)/Y9,1)</f>
        <v>2.9</v>
      </c>
      <c r="Z24" s="27">
        <f t="shared" si="14"/>
        <v>20</v>
      </c>
      <c r="AA24" s="27">
        <f t="shared" si="14"/>
        <v>8</v>
      </c>
      <c r="AB24" s="27">
        <f t="shared" si="14"/>
        <v>200</v>
      </c>
      <c r="AC24" s="27">
        <f t="shared" si="14"/>
        <v>100</v>
      </c>
      <c r="AD24" s="27">
        <f t="shared" si="14"/>
        <v>14.3</v>
      </c>
      <c r="AE24" s="27">
        <f t="shared" si="14"/>
        <v>3.2</v>
      </c>
      <c r="AF24" s="27">
        <f t="shared" si="14"/>
        <v>3.1</v>
      </c>
      <c r="AG24" s="27">
        <f t="shared" si="14"/>
        <v>5.2</v>
      </c>
    </row>
    <row r="25" spans="1:33">
      <c r="C25" s="44" t="str">
        <f>IF(C24&lt;1.5,"+ Space","")</f>
        <v>+ Space</v>
      </c>
      <c r="D25" s="44" t="str">
        <f t="shared" ref="D25:AG25" si="15">IF(D24&lt;1.5,"+ Space","")</f>
        <v>+ Space</v>
      </c>
      <c r="E25" s="44" t="str">
        <f t="shared" si="15"/>
        <v/>
      </c>
      <c r="F25" s="45"/>
      <c r="G25" s="44" t="str">
        <f t="shared" si="15"/>
        <v/>
      </c>
      <c r="H25" s="44" t="str">
        <f t="shared" si="15"/>
        <v/>
      </c>
      <c r="I25" s="44" t="str">
        <f t="shared" si="15"/>
        <v/>
      </c>
      <c r="J25" s="45"/>
      <c r="K25" s="44" t="str">
        <f t="shared" si="15"/>
        <v/>
      </c>
      <c r="L25" s="44" t="str">
        <f t="shared" si="15"/>
        <v/>
      </c>
      <c r="M25" s="44" t="str">
        <f t="shared" si="15"/>
        <v/>
      </c>
      <c r="N25" s="44" t="str">
        <f t="shared" si="15"/>
        <v/>
      </c>
      <c r="O25" s="44" t="str">
        <f t="shared" si="15"/>
        <v/>
      </c>
      <c r="P25" s="44" t="str">
        <f t="shared" si="15"/>
        <v/>
      </c>
      <c r="Q25" s="45"/>
      <c r="R25" s="44" t="str">
        <f t="shared" si="15"/>
        <v/>
      </c>
      <c r="S25" s="44" t="str">
        <f t="shared" si="15"/>
        <v/>
      </c>
      <c r="T25" s="44" t="str">
        <f t="shared" si="15"/>
        <v/>
      </c>
      <c r="U25" s="44" t="str">
        <f t="shared" si="15"/>
        <v/>
      </c>
      <c r="V25" s="44" t="str">
        <f t="shared" si="15"/>
        <v/>
      </c>
      <c r="W25" s="44" t="str">
        <f t="shared" si="15"/>
        <v/>
      </c>
      <c r="X25" s="45"/>
      <c r="Y25" s="44" t="str">
        <f t="shared" si="15"/>
        <v/>
      </c>
      <c r="Z25" s="44" t="str">
        <f t="shared" si="15"/>
        <v/>
      </c>
      <c r="AA25" s="44" t="str">
        <f t="shared" si="15"/>
        <v/>
      </c>
      <c r="AB25" s="44" t="str">
        <f t="shared" si="15"/>
        <v/>
      </c>
      <c r="AC25" s="44" t="str">
        <f t="shared" si="15"/>
        <v/>
      </c>
      <c r="AD25" s="44" t="str">
        <f t="shared" si="15"/>
        <v/>
      </c>
      <c r="AE25" s="44" t="str">
        <f t="shared" si="15"/>
        <v/>
      </c>
      <c r="AF25" s="44" t="str">
        <f t="shared" si="15"/>
        <v/>
      </c>
      <c r="AG25" s="44" t="str">
        <f t="shared" si="15"/>
        <v/>
      </c>
    </row>
    <row r="26" spans="1:33" ht="13.8" thickBot="1"/>
    <row r="27" spans="1:33">
      <c r="B27" s="46" t="s">
        <v>98</v>
      </c>
      <c r="C27" s="47">
        <f>C21</f>
        <v>7344</v>
      </c>
      <c r="D27" s="48">
        <f>D21</f>
        <v>8636</v>
      </c>
      <c r="E27" s="48">
        <f>E21</f>
        <v>8160</v>
      </c>
      <c r="F27" s="49"/>
      <c r="G27" s="48">
        <f>G21</f>
        <v>640</v>
      </c>
      <c r="H27" s="48">
        <f>H21</f>
        <v>400</v>
      </c>
      <c r="I27" s="48">
        <f>I21</f>
        <v>360</v>
      </c>
      <c r="J27" s="49"/>
      <c r="K27" s="48">
        <f t="shared" ref="K27:P27" si="16">K21</f>
        <v>396</v>
      </c>
      <c r="L27" s="48">
        <f t="shared" si="16"/>
        <v>198</v>
      </c>
      <c r="M27" s="48">
        <f t="shared" si="16"/>
        <v>297</v>
      </c>
      <c r="N27" s="48">
        <f t="shared" si="16"/>
        <v>396</v>
      </c>
      <c r="O27" s="48">
        <f t="shared" si="16"/>
        <v>198</v>
      </c>
      <c r="P27" s="48">
        <f t="shared" si="16"/>
        <v>198</v>
      </c>
      <c r="Q27" s="49"/>
      <c r="R27" s="48">
        <f t="shared" ref="R27:W27" si="17">R21</f>
        <v>880</v>
      </c>
      <c r="S27" s="48">
        <f t="shared" si="17"/>
        <v>400</v>
      </c>
      <c r="T27" s="48">
        <f t="shared" si="17"/>
        <v>720</v>
      </c>
      <c r="U27" s="48">
        <f t="shared" si="17"/>
        <v>200</v>
      </c>
      <c r="V27" s="48">
        <f t="shared" si="17"/>
        <v>200</v>
      </c>
      <c r="W27" s="48">
        <f t="shared" si="17"/>
        <v>200</v>
      </c>
      <c r="X27" s="49"/>
      <c r="Y27" s="48">
        <f t="shared" ref="Y27:AG27" si="18">Y21</f>
        <v>160</v>
      </c>
      <c r="Z27" s="48">
        <f t="shared" si="18"/>
        <v>160</v>
      </c>
      <c r="AA27" s="48">
        <f t="shared" si="18"/>
        <v>160</v>
      </c>
      <c r="AB27" s="48">
        <f t="shared" si="18"/>
        <v>160</v>
      </c>
      <c r="AC27" s="48">
        <f t="shared" si="18"/>
        <v>80</v>
      </c>
      <c r="AD27" s="48">
        <f t="shared" si="18"/>
        <v>80</v>
      </c>
      <c r="AE27" s="48">
        <f t="shared" si="18"/>
        <v>495</v>
      </c>
      <c r="AF27" s="48">
        <f t="shared" si="18"/>
        <v>495</v>
      </c>
      <c r="AG27" s="50">
        <f t="shared" si="18"/>
        <v>450</v>
      </c>
    </row>
    <row r="28" spans="1:33">
      <c r="B28" s="46" t="s">
        <v>99</v>
      </c>
      <c r="C28" s="51">
        <f>C20</f>
        <v>5542</v>
      </c>
      <c r="D28" s="52">
        <f>D20</f>
        <v>6052</v>
      </c>
      <c r="E28" s="52">
        <f>E20</f>
        <v>4726</v>
      </c>
      <c r="F28" s="53"/>
      <c r="G28" s="52">
        <f>G20</f>
        <v>320</v>
      </c>
      <c r="H28" s="52">
        <f>H20</f>
        <v>200</v>
      </c>
      <c r="I28" s="52">
        <f>I20</f>
        <v>160</v>
      </c>
      <c r="J28" s="53"/>
      <c r="K28" s="52">
        <f t="shared" ref="K28:P28" si="19">K20</f>
        <v>231</v>
      </c>
      <c r="L28" s="52">
        <f t="shared" si="19"/>
        <v>132</v>
      </c>
      <c r="M28" s="52">
        <f t="shared" si="19"/>
        <v>165</v>
      </c>
      <c r="N28" s="52">
        <f t="shared" si="19"/>
        <v>99</v>
      </c>
      <c r="O28" s="52">
        <f t="shared" si="19"/>
        <v>165</v>
      </c>
      <c r="P28" s="52">
        <f t="shared" si="19"/>
        <v>66</v>
      </c>
      <c r="Q28" s="53"/>
      <c r="R28" s="52">
        <f t="shared" ref="R28:W28" si="20">R20</f>
        <v>680</v>
      </c>
      <c r="S28" s="52">
        <f t="shared" si="20"/>
        <v>240</v>
      </c>
      <c r="T28" s="52">
        <f t="shared" si="20"/>
        <v>560</v>
      </c>
      <c r="U28" s="52">
        <f t="shared" si="20"/>
        <v>80</v>
      </c>
      <c r="V28" s="52">
        <f t="shared" si="20"/>
        <v>80</v>
      </c>
      <c r="W28" s="52">
        <f t="shared" si="20"/>
        <v>80</v>
      </c>
      <c r="X28" s="53"/>
      <c r="Y28" s="52">
        <f t="shared" ref="Y28:AG28" si="21">Y20</f>
        <v>120</v>
      </c>
      <c r="Z28" s="52">
        <f t="shared" si="21"/>
        <v>80</v>
      </c>
      <c r="AA28" s="52">
        <f t="shared" si="21"/>
        <v>80</v>
      </c>
      <c r="AB28" s="52">
        <f t="shared" si="21"/>
        <v>80</v>
      </c>
      <c r="AC28" s="52">
        <f t="shared" si="21"/>
        <v>40</v>
      </c>
      <c r="AD28" s="52">
        <f t="shared" si="21"/>
        <v>40</v>
      </c>
      <c r="AE28" s="52">
        <f t="shared" si="21"/>
        <v>315</v>
      </c>
      <c r="AF28" s="52">
        <f t="shared" si="21"/>
        <v>315</v>
      </c>
      <c r="AG28" s="54">
        <f t="shared" si="21"/>
        <v>225</v>
      </c>
    </row>
    <row r="29" spans="1:33" ht="13.8" thickBot="1">
      <c r="B29" s="55" t="s">
        <v>100</v>
      </c>
      <c r="C29" s="56">
        <f>ROUND(C20-C19,0)</f>
        <v>3340</v>
      </c>
      <c r="D29" s="57">
        <f>ROUND(D20-D19,0)</f>
        <v>3519</v>
      </c>
      <c r="E29" s="57">
        <f>ROUND(E20-E19,0)</f>
        <v>2744</v>
      </c>
      <c r="F29" s="58"/>
      <c r="G29" s="57">
        <f>ROUND(G20-G19,0)</f>
        <v>197</v>
      </c>
      <c r="H29" s="57">
        <f>ROUND(H20-H19,0)</f>
        <v>157</v>
      </c>
      <c r="I29" s="57">
        <f>ROUND(I20-I19,0)</f>
        <v>116</v>
      </c>
      <c r="J29" s="58"/>
      <c r="K29" s="57">
        <f t="shared" ref="K29:P29" si="22">ROUND(K20-K19,0)</f>
        <v>154</v>
      </c>
      <c r="L29" s="57">
        <f t="shared" si="22"/>
        <v>92</v>
      </c>
      <c r="M29" s="57">
        <f t="shared" si="22"/>
        <v>108</v>
      </c>
      <c r="N29" s="57">
        <f t="shared" si="22"/>
        <v>66</v>
      </c>
      <c r="O29" s="57">
        <f t="shared" si="22"/>
        <v>132</v>
      </c>
      <c r="P29" s="57">
        <f t="shared" si="22"/>
        <v>56</v>
      </c>
      <c r="Q29" s="58"/>
      <c r="R29" s="57">
        <f t="shared" ref="R29:W29" si="23">ROUND(R20-R19,0)</f>
        <v>368</v>
      </c>
      <c r="S29" s="57">
        <f t="shared" si="23"/>
        <v>159</v>
      </c>
      <c r="T29" s="57">
        <f t="shared" si="23"/>
        <v>333</v>
      </c>
      <c r="U29" s="57">
        <f t="shared" si="23"/>
        <v>71</v>
      </c>
      <c r="V29" s="57">
        <f t="shared" si="23"/>
        <v>65</v>
      </c>
      <c r="W29" s="57">
        <f t="shared" si="23"/>
        <v>78</v>
      </c>
      <c r="X29" s="58"/>
      <c r="Y29" s="57">
        <f t="shared" ref="Y29:AG29" si="24">ROUND(Y20-Y19,0)</f>
        <v>78</v>
      </c>
      <c r="Z29" s="57">
        <f t="shared" si="24"/>
        <v>68</v>
      </c>
      <c r="AA29" s="57">
        <f t="shared" si="24"/>
        <v>50</v>
      </c>
      <c r="AB29" s="57">
        <f t="shared" si="24"/>
        <v>79</v>
      </c>
      <c r="AC29" s="57">
        <f t="shared" si="24"/>
        <v>39</v>
      </c>
      <c r="AD29" s="57">
        <f t="shared" si="24"/>
        <v>32</v>
      </c>
      <c r="AE29" s="57">
        <f t="shared" si="24"/>
        <v>203</v>
      </c>
      <c r="AF29" s="57">
        <f t="shared" si="24"/>
        <v>200</v>
      </c>
      <c r="AG29" s="59">
        <f t="shared" si="24"/>
        <v>139</v>
      </c>
    </row>
    <row r="30" spans="1:33">
      <c r="A30" s="60"/>
      <c r="B30" s="60"/>
      <c r="C30" s="60"/>
      <c r="D30" s="60"/>
      <c r="E30" s="60"/>
      <c r="F30" s="61"/>
      <c r="G30" s="60"/>
      <c r="H30" s="60"/>
      <c r="I30" s="60"/>
      <c r="J30" s="61"/>
      <c r="K30" s="60"/>
      <c r="L30" s="60"/>
      <c r="M30" s="60"/>
      <c r="N30" s="60"/>
      <c r="O30" s="60"/>
      <c r="P30" s="60"/>
      <c r="Q30" s="61"/>
      <c r="R30" s="60"/>
      <c r="S30" s="60"/>
      <c r="T30" s="60"/>
      <c r="U30" s="60"/>
      <c r="V30" s="60"/>
      <c r="W30" s="60"/>
      <c r="X30" s="61"/>
      <c r="Y30" s="60"/>
      <c r="Z30" s="60"/>
      <c r="AA30" s="60"/>
      <c r="AB30" s="60"/>
      <c r="AC30" s="60"/>
      <c r="AD30" s="60"/>
      <c r="AE30" s="60"/>
      <c r="AF30" s="60"/>
      <c r="AG30" s="60"/>
    </row>
    <row r="31" spans="1:33">
      <c r="A31" s="60"/>
    </row>
    <row r="32" spans="1:33">
      <c r="A32" s="60"/>
    </row>
    <row r="33" spans="2:33">
      <c r="B33" s="62"/>
      <c r="C33" s="63"/>
      <c r="D33" s="63"/>
      <c r="E33" s="63"/>
      <c r="G33" s="64"/>
      <c r="H33" s="64"/>
      <c r="I33" s="64"/>
      <c r="J33" s="65"/>
      <c r="K33" s="63"/>
      <c r="L33" s="63"/>
      <c r="M33" s="63"/>
      <c r="N33" s="63"/>
      <c r="O33" s="63"/>
      <c r="P33" s="63"/>
      <c r="R33" s="63"/>
      <c r="S33" s="63"/>
      <c r="T33" s="63"/>
      <c r="U33" s="63"/>
      <c r="V33" s="63"/>
      <c r="W33" s="63"/>
      <c r="X33" s="66"/>
      <c r="Y33" s="63"/>
      <c r="Z33" s="63"/>
      <c r="AA33" s="63"/>
      <c r="AB33" s="63"/>
      <c r="AC33" s="63"/>
      <c r="AD33" s="63"/>
      <c r="AE33" s="63"/>
      <c r="AF33" s="63"/>
      <c r="AG33" s="63"/>
    </row>
  </sheetData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2484-5FF5-4592-98AD-9B73616899D3}">
  <sheetPr codeName="Sheet4">
    <pageSetUpPr fitToPage="1"/>
  </sheetPr>
  <dimension ref="A1:AG48"/>
  <sheetViews>
    <sheetView view="pageBreakPreview" topLeftCell="A8" zoomScaleNormal="100" zoomScaleSheetLayoutView="100" workbookViewId="0">
      <selection activeCell="H30" sqref="H30"/>
    </sheetView>
  </sheetViews>
  <sheetFormatPr defaultColWidth="9.109375" defaultRowHeight="20.399999999999999" outlineLevelRow="1" outlineLevelCol="2"/>
  <cols>
    <col min="1" max="1" width="7" style="90" bestFit="1" customWidth="1"/>
    <col min="2" max="2" width="6" style="90" bestFit="1" customWidth="1"/>
    <col min="3" max="3" width="17.33203125" style="90" bestFit="1" customWidth="1"/>
    <col min="4" max="4" width="16.5546875" style="90" bestFit="1" customWidth="1"/>
    <col min="5" max="5" width="13" style="135" bestFit="1" customWidth="1"/>
    <col min="6" max="6" width="11" style="90" bestFit="1" customWidth="1"/>
    <col min="7" max="7" width="9.88671875" style="92" bestFit="1" customWidth="1"/>
    <col min="8" max="8" width="9.33203125" style="90" customWidth="1"/>
    <col min="9" max="9" width="7.6640625" style="90" hidden="1" customWidth="1" outlineLevel="1"/>
    <col min="10" max="10" width="9.6640625" style="90" hidden="1" customWidth="1" outlineLevel="1"/>
    <col min="11" max="11" width="7.33203125" style="90" hidden="1" customWidth="1" outlineLevel="1"/>
    <col min="12" max="12" width="12.44140625" style="90" hidden="1" customWidth="1" outlineLevel="1" collapsed="1"/>
    <col min="13" max="13" width="16.5546875" style="90" hidden="1" customWidth="1" outlineLevel="1"/>
    <col min="14" max="15" width="11.6640625" style="90" hidden="1" customWidth="1" outlineLevel="2"/>
    <col min="16" max="16" width="7.33203125" style="90" hidden="1" customWidth="1" outlineLevel="2"/>
    <col min="17" max="17" width="14.6640625" style="90" hidden="1" customWidth="1" outlineLevel="1"/>
    <col min="18" max="18" width="8.88671875" style="90" customWidth="1" collapsed="1"/>
    <col min="19" max="19" width="11.6640625" style="90" bestFit="1" customWidth="1"/>
    <col min="20" max="16384" width="9.109375" style="90"/>
  </cols>
  <sheetData>
    <row r="1" spans="1:33" ht="13.2">
      <c r="A1" s="138"/>
      <c r="B1" s="138"/>
      <c r="C1" s="276"/>
      <c r="D1" s="276"/>
      <c r="E1" s="275"/>
      <c r="F1" s="275"/>
      <c r="G1" s="138"/>
      <c r="I1" s="138"/>
      <c r="J1" s="138"/>
      <c r="K1" s="138"/>
      <c r="L1" s="274"/>
      <c r="M1" s="273" t="s">
        <v>211</v>
      </c>
      <c r="N1" s="138"/>
      <c r="O1" s="138"/>
      <c r="P1" s="138"/>
      <c r="Q1" s="138"/>
    </row>
    <row r="2" spans="1:33" ht="13.2">
      <c r="A2" s="202"/>
      <c r="B2" s="202"/>
      <c r="C2" s="202"/>
      <c r="D2" s="202"/>
      <c r="E2" s="202"/>
      <c r="F2" s="138"/>
      <c r="G2" s="138"/>
      <c r="I2" s="138"/>
      <c r="J2" s="138"/>
      <c r="K2" s="138"/>
      <c r="L2" s="274"/>
      <c r="M2" s="273" t="s">
        <v>210</v>
      </c>
      <c r="N2" s="138"/>
      <c r="O2" s="138"/>
      <c r="P2" s="138"/>
      <c r="Q2" s="138"/>
    </row>
    <row r="3" spans="1:33" ht="10.95" customHeight="1" thickBot="1">
      <c r="A3" s="202"/>
      <c r="B3" s="202"/>
      <c r="C3" s="202"/>
      <c r="D3" s="202"/>
      <c r="E3" s="202"/>
      <c r="F3" s="138"/>
      <c r="G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33" ht="13.8" hidden="1" outlineLevel="1" thickBot="1">
      <c r="A4" s="138"/>
      <c r="B4" s="138"/>
      <c r="C4" s="138"/>
      <c r="D4" s="138"/>
      <c r="E4" s="138"/>
      <c r="F4" s="272">
        <f ca="1">TODAY()</f>
        <v>43572</v>
      </c>
      <c r="G4" s="272">
        <f ca="1">TODAY()</f>
        <v>43572</v>
      </c>
      <c r="H4" s="272">
        <f ca="1">TODAY()</f>
        <v>43572</v>
      </c>
      <c r="I4" s="138"/>
      <c r="J4" s="138"/>
      <c r="K4" s="138"/>
      <c r="L4" s="138"/>
      <c r="M4" s="271"/>
      <c r="N4" s="270"/>
      <c r="O4" s="138"/>
      <c r="P4" s="138"/>
      <c r="Q4" s="138"/>
    </row>
    <row r="5" spans="1:33" ht="25.2" customHeight="1" collapsed="1" thickBot="1">
      <c r="A5" s="269" t="s">
        <v>192</v>
      </c>
      <c r="B5" s="267" t="s">
        <v>191</v>
      </c>
      <c r="C5" s="268" t="s">
        <v>190</v>
      </c>
      <c r="D5" s="267" t="s">
        <v>189</v>
      </c>
      <c r="E5" s="265" t="s">
        <v>209</v>
      </c>
      <c r="F5" s="266" t="s">
        <v>64</v>
      </c>
      <c r="G5" s="265" t="s">
        <v>65</v>
      </c>
      <c r="H5" s="264" t="s">
        <v>66</v>
      </c>
      <c r="I5" s="263" t="s">
        <v>208</v>
      </c>
      <c r="J5" s="263" t="s">
        <v>207</v>
      </c>
      <c r="K5" s="263" t="s">
        <v>206</v>
      </c>
      <c r="L5" s="138"/>
      <c r="M5" s="263" t="s">
        <v>205</v>
      </c>
      <c r="N5" s="138" t="s">
        <v>204</v>
      </c>
      <c r="O5" s="138" t="s">
        <v>203</v>
      </c>
      <c r="P5" s="138" t="s">
        <v>202</v>
      </c>
      <c r="Q5" s="263" t="s">
        <v>201</v>
      </c>
      <c r="R5" s="138"/>
    </row>
    <row r="6" spans="1:33" ht="13.2" outlineLevel="1">
      <c r="A6" s="278" t="s">
        <v>186</v>
      </c>
      <c r="B6" s="173">
        <v>40200</v>
      </c>
      <c r="C6" s="173" t="s">
        <v>164</v>
      </c>
      <c r="D6" s="175" t="s">
        <v>185</v>
      </c>
      <c r="E6" s="258" t="s">
        <v>81</v>
      </c>
      <c r="F6" s="173">
        <v>4012</v>
      </c>
      <c r="G6" s="165">
        <v>1428</v>
      </c>
      <c r="H6" s="165"/>
      <c r="I6" s="184">
        <v>8898.2000000000025</v>
      </c>
      <c r="J6" s="184">
        <f t="shared" ref="J6:J21" si="0">IF(-F6-G6+I6&gt;0,-F6-G6+I6,FALSE)</f>
        <v>3458.2000000000025</v>
      </c>
      <c r="K6" s="184" t="e">
        <f>VLOOKUP(Purchase!B6,'[3]Visual Inventory'!B59:AF59,-57,0)</f>
        <v>#N/A</v>
      </c>
      <c r="L6" s="183" t="e">
        <f t="shared" ref="L6:L21" si="1">IF(AND(F6+G6&lt;K6, J6),"Must Order",IF(F6&lt;I6,"Can Order up to","Don't order" ))</f>
        <v>#N/A</v>
      </c>
      <c r="M6" s="257" t="e">
        <f t="shared" ref="M6:M21" si="2">IF(AND(F6+G6&lt;K6, J6),J6,IF(J6,J6, "Don't order" ))</f>
        <v>#N/A</v>
      </c>
      <c r="N6" s="262">
        <v>330.48</v>
      </c>
      <c r="O6" s="139">
        <f t="shared" ref="O6:O21" si="3">F6/N6</f>
        <v>12.139917695473251</v>
      </c>
      <c r="P6" s="259">
        <v>10</v>
      </c>
      <c r="Q6" s="137">
        <f t="shared" ref="Q6:Q44" si="4">ROUNDDOWN((O6-P6)/5,0)</f>
        <v>0</v>
      </c>
    </row>
    <row r="7" spans="1:33" ht="13.2" outlineLevel="1">
      <c r="A7" s="278"/>
      <c r="B7" s="180">
        <v>40201</v>
      </c>
      <c r="C7" s="180" t="s">
        <v>162</v>
      </c>
      <c r="D7" s="154" t="s">
        <v>184</v>
      </c>
      <c r="E7" s="255"/>
      <c r="F7" s="180">
        <v>4386</v>
      </c>
      <c r="G7" s="179">
        <v>2890</v>
      </c>
      <c r="H7" s="179"/>
      <c r="I7" s="178">
        <v>11654.760550084222</v>
      </c>
      <c r="J7" s="178">
        <f t="shared" si="0"/>
        <v>4378.7605500842219</v>
      </c>
      <c r="K7" s="178">
        <v>9543.84</v>
      </c>
      <c r="L7" s="151" t="str">
        <f t="shared" si="1"/>
        <v>Must Order</v>
      </c>
      <c r="M7" s="254">
        <f t="shared" si="2"/>
        <v>4378.7605500842219</v>
      </c>
      <c r="N7" s="261">
        <v>422.18400000000003</v>
      </c>
      <c r="O7" s="139">
        <f t="shared" si="3"/>
        <v>10.388835199818088</v>
      </c>
      <c r="P7" s="259">
        <v>10</v>
      </c>
      <c r="Q7" s="137">
        <f t="shared" si="4"/>
        <v>0</v>
      </c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</row>
    <row r="8" spans="1:33" ht="13.8" outlineLevel="1" thickBot="1">
      <c r="A8" s="278"/>
      <c r="B8" s="187">
        <v>40202</v>
      </c>
      <c r="C8" s="187" t="s">
        <v>160</v>
      </c>
      <c r="D8" s="188" t="s">
        <v>183</v>
      </c>
      <c r="E8" s="252"/>
      <c r="F8" s="187">
        <v>2482</v>
      </c>
      <c r="G8" s="186">
        <v>714</v>
      </c>
      <c r="H8" s="186"/>
      <c r="I8" s="172">
        <v>11388.919999999989</v>
      </c>
      <c r="J8" s="172">
        <f t="shared" si="0"/>
        <v>8192.9199999999892</v>
      </c>
      <c r="K8" s="172">
        <v>9209.2799999999988</v>
      </c>
      <c r="L8" s="141" t="str">
        <f t="shared" si="1"/>
        <v>Must Order</v>
      </c>
      <c r="M8" s="251">
        <f t="shared" si="2"/>
        <v>8192.9199999999892</v>
      </c>
      <c r="N8" s="260">
        <v>435.928</v>
      </c>
      <c r="O8" s="139">
        <f t="shared" si="3"/>
        <v>5.693600778110147</v>
      </c>
      <c r="P8" s="259">
        <v>10</v>
      </c>
      <c r="Q8" s="137">
        <f t="shared" si="4"/>
        <v>0</v>
      </c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</row>
    <row r="9" spans="1:33" ht="13.8" thickBot="1">
      <c r="A9" s="278"/>
      <c r="B9" s="180">
        <v>40209</v>
      </c>
      <c r="C9" s="180" t="s">
        <v>128</v>
      </c>
      <c r="D9" s="235" t="s">
        <v>182</v>
      </c>
      <c r="E9" s="258" t="s">
        <v>81</v>
      </c>
      <c r="F9" s="180">
        <v>142</v>
      </c>
      <c r="G9" s="210">
        <v>170</v>
      </c>
      <c r="H9" s="210"/>
      <c r="I9" s="184">
        <v>296.16000000000645</v>
      </c>
      <c r="J9" s="184" t="b">
        <f t="shared" si="0"/>
        <v>0</v>
      </c>
      <c r="K9" s="184">
        <v>240.07999999999998</v>
      </c>
      <c r="L9" s="183" t="str">
        <f t="shared" si="1"/>
        <v>Can Order up to</v>
      </c>
      <c r="M9" s="257" t="str">
        <f t="shared" si="2"/>
        <v>Don't order</v>
      </c>
      <c r="N9" s="256">
        <v>5.6079999999999997</v>
      </c>
      <c r="O9" s="139">
        <f t="shared" si="3"/>
        <v>25.320970042796006</v>
      </c>
      <c r="P9" s="244">
        <v>10</v>
      </c>
      <c r="Q9" s="137">
        <f t="shared" si="4"/>
        <v>3</v>
      </c>
      <c r="R9" s="94"/>
      <c r="S9" s="94"/>
      <c r="T9" s="94"/>
      <c r="U9" s="94"/>
      <c r="V9" s="94"/>
      <c r="W9" s="94"/>
      <c r="X9" s="94"/>
      <c r="Y9" s="94"/>
      <c r="Z9" s="94"/>
      <c r="AA9" s="94"/>
      <c r="AB9" s="93"/>
      <c r="AC9" s="93"/>
      <c r="AD9" s="93"/>
      <c r="AE9" s="93"/>
      <c r="AF9" s="93"/>
      <c r="AG9" s="93"/>
    </row>
    <row r="10" spans="1:33" ht="13.2">
      <c r="A10" s="278"/>
      <c r="B10" s="173">
        <v>40210</v>
      </c>
      <c r="C10" s="173" t="s">
        <v>126</v>
      </c>
      <c r="D10" s="175" t="s">
        <v>181</v>
      </c>
      <c r="E10" s="255"/>
      <c r="F10" s="173">
        <v>56</v>
      </c>
      <c r="G10" s="165">
        <v>238</v>
      </c>
      <c r="H10" s="165"/>
      <c r="I10" s="178">
        <v>328.63999999999612</v>
      </c>
      <c r="J10" s="178">
        <f t="shared" si="0"/>
        <v>34.639999999996121</v>
      </c>
      <c r="K10" s="178">
        <v>286.32</v>
      </c>
      <c r="L10" s="151" t="str">
        <f t="shared" si="1"/>
        <v>Can Order up to</v>
      </c>
      <c r="M10" s="254">
        <f t="shared" si="2"/>
        <v>34.639999999996121</v>
      </c>
      <c r="N10" s="253">
        <v>4.2320000000000002</v>
      </c>
      <c r="O10" s="139">
        <f t="shared" si="3"/>
        <v>13.232514177693762</v>
      </c>
      <c r="P10" s="244">
        <v>10</v>
      </c>
      <c r="Q10" s="137">
        <f t="shared" si="4"/>
        <v>0</v>
      </c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3"/>
      <c r="AC10" s="93"/>
      <c r="AD10" s="93"/>
      <c r="AE10" s="93"/>
      <c r="AF10" s="93"/>
      <c r="AG10" s="93"/>
    </row>
    <row r="11" spans="1:33" ht="13.8" thickBot="1">
      <c r="A11" s="278"/>
      <c r="B11" s="180">
        <v>40211</v>
      </c>
      <c r="C11" s="180" t="s">
        <v>180</v>
      </c>
      <c r="D11" s="154" t="s">
        <v>179</v>
      </c>
      <c r="E11" s="252"/>
      <c r="F11" s="180">
        <v>64</v>
      </c>
      <c r="G11" s="179">
        <v>408</v>
      </c>
      <c r="H11" s="179"/>
      <c r="I11" s="172">
        <v>421.59999999999553</v>
      </c>
      <c r="J11" s="172" t="b">
        <f t="shared" si="0"/>
        <v>0</v>
      </c>
      <c r="K11" s="172">
        <v>310.8</v>
      </c>
      <c r="L11" s="141" t="str">
        <f t="shared" si="1"/>
        <v>Can Order up to</v>
      </c>
      <c r="M11" s="251" t="str">
        <f t="shared" si="2"/>
        <v>Don't order</v>
      </c>
      <c r="N11" s="250">
        <v>11.08</v>
      </c>
      <c r="O11" s="139">
        <f t="shared" si="3"/>
        <v>5.7761732851985563</v>
      </c>
      <c r="P11" s="244">
        <v>10</v>
      </c>
      <c r="Q11" s="137">
        <f t="shared" si="4"/>
        <v>0</v>
      </c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3"/>
      <c r="AC11" s="93"/>
      <c r="AD11" s="93"/>
      <c r="AE11" s="93"/>
      <c r="AF11" s="93"/>
      <c r="AG11" s="93"/>
    </row>
    <row r="12" spans="1:33" ht="13.2">
      <c r="A12" s="278"/>
      <c r="B12" s="173">
        <v>41200</v>
      </c>
      <c r="C12" s="173" t="s">
        <v>178</v>
      </c>
      <c r="D12" s="175" t="s">
        <v>177</v>
      </c>
      <c r="E12" s="249" t="s">
        <v>84</v>
      </c>
      <c r="F12" s="173">
        <v>156</v>
      </c>
      <c r="G12" s="165">
        <v>0</v>
      </c>
      <c r="H12" s="165"/>
      <c r="I12" s="184">
        <v>95.319952319999999</v>
      </c>
      <c r="J12" s="184" t="b">
        <f t="shared" si="0"/>
        <v>0</v>
      </c>
      <c r="K12" s="184">
        <v>55.32</v>
      </c>
      <c r="L12" s="183" t="str">
        <f t="shared" si="1"/>
        <v>Don't order</v>
      </c>
      <c r="M12" s="248" t="str">
        <f t="shared" si="2"/>
        <v>Don't order</v>
      </c>
      <c r="N12" s="233">
        <v>0.88800000000000001</v>
      </c>
      <c r="O12" s="139">
        <f t="shared" si="3"/>
        <v>175.67567567567568</v>
      </c>
      <c r="P12" s="244">
        <v>15</v>
      </c>
      <c r="Q12" s="137">
        <f t="shared" si="4"/>
        <v>32</v>
      </c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</row>
    <row r="13" spans="1:33" ht="13.2">
      <c r="A13" s="278"/>
      <c r="B13" s="180">
        <v>41201</v>
      </c>
      <c r="C13" s="180" t="s">
        <v>176</v>
      </c>
      <c r="D13" s="154" t="s">
        <v>175</v>
      </c>
      <c r="E13" s="240"/>
      <c r="F13" s="180">
        <v>217</v>
      </c>
      <c r="G13" s="179">
        <v>0</v>
      </c>
      <c r="H13" s="179"/>
      <c r="I13" s="178">
        <v>153.87999999999789</v>
      </c>
      <c r="J13" s="178" t="b">
        <f t="shared" si="0"/>
        <v>0</v>
      </c>
      <c r="K13" s="178">
        <v>113.88</v>
      </c>
      <c r="L13" s="151" t="str">
        <f t="shared" si="1"/>
        <v>Don't order</v>
      </c>
      <c r="M13" s="239" t="str">
        <f t="shared" si="2"/>
        <v>Don't order</v>
      </c>
      <c r="N13" s="185">
        <v>0.79200000000000004</v>
      </c>
      <c r="O13" s="139">
        <f t="shared" si="3"/>
        <v>273.98989898989896</v>
      </c>
      <c r="P13" s="244">
        <v>15</v>
      </c>
      <c r="Q13" s="137">
        <f t="shared" si="4"/>
        <v>51</v>
      </c>
      <c r="U13" s="280"/>
    </row>
    <row r="14" spans="1:33" ht="13.8" thickBot="1">
      <c r="A14" s="278"/>
      <c r="B14" s="187">
        <v>41202</v>
      </c>
      <c r="C14" s="187" t="s">
        <v>174</v>
      </c>
      <c r="D14" s="188" t="s">
        <v>173</v>
      </c>
      <c r="E14" s="240"/>
      <c r="F14" s="187">
        <v>165</v>
      </c>
      <c r="G14" s="186">
        <v>0</v>
      </c>
      <c r="H14" s="186"/>
      <c r="I14" s="178">
        <v>121.88000000000038</v>
      </c>
      <c r="J14" s="178" t="b">
        <f t="shared" si="0"/>
        <v>0</v>
      </c>
      <c r="K14" s="178">
        <v>81.88</v>
      </c>
      <c r="L14" s="237" t="str">
        <f t="shared" si="1"/>
        <v>Don't order</v>
      </c>
      <c r="M14" s="236" t="str">
        <f t="shared" si="2"/>
        <v>Don't order</v>
      </c>
      <c r="N14" s="229">
        <v>0.79200000000000004</v>
      </c>
      <c r="O14" s="139">
        <f t="shared" si="3"/>
        <v>208.33333333333331</v>
      </c>
      <c r="P14" s="244">
        <v>15</v>
      </c>
      <c r="Q14" s="137">
        <f t="shared" si="4"/>
        <v>38</v>
      </c>
      <c r="U14" s="280"/>
    </row>
    <row r="15" spans="1:33" ht="13.2">
      <c r="A15" s="278"/>
      <c r="B15" s="180">
        <v>41209</v>
      </c>
      <c r="C15" s="180" t="s">
        <v>172</v>
      </c>
      <c r="D15" s="180" t="s">
        <v>171</v>
      </c>
      <c r="E15" s="249"/>
      <c r="F15" s="180">
        <v>151</v>
      </c>
      <c r="G15" s="210">
        <v>0</v>
      </c>
      <c r="H15" s="210"/>
      <c r="I15" s="184">
        <v>56.280035719999987</v>
      </c>
      <c r="J15" s="184" t="b">
        <f t="shared" si="0"/>
        <v>0</v>
      </c>
      <c r="K15" s="184">
        <v>16.28</v>
      </c>
      <c r="L15" s="183" t="str">
        <f t="shared" si="1"/>
        <v>Don't order</v>
      </c>
      <c r="M15" s="248" t="str">
        <f t="shared" si="2"/>
        <v>Don't order</v>
      </c>
      <c r="N15" s="181">
        <v>0.55200000000000005</v>
      </c>
      <c r="O15" s="139">
        <f t="shared" si="3"/>
        <v>273.55072463768113</v>
      </c>
      <c r="P15" s="244">
        <v>15</v>
      </c>
      <c r="Q15" s="137">
        <f t="shared" si="4"/>
        <v>51</v>
      </c>
      <c r="U15" s="280"/>
    </row>
    <row r="16" spans="1:33" ht="13.8" thickBot="1">
      <c r="A16" s="278"/>
      <c r="B16" s="187">
        <v>41210</v>
      </c>
      <c r="C16" s="187" t="s">
        <v>170</v>
      </c>
      <c r="D16" s="188" t="s">
        <v>169</v>
      </c>
      <c r="E16" s="240"/>
      <c r="F16" s="187">
        <v>143</v>
      </c>
      <c r="G16" s="186">
        <v>0</v>
      </c>
      <c r="H16" s="186"/>
      <c r="I16" s="178">
        <v>61.200000000001637</v>
      </c>
      <c r="J16" s="178" t="b">
        <f t="shared" si="0"/>
        <v>0</v>
      </c>
      <c r="K16" s="178">
        <v>21.2</v>
      </c>
      <c r="L16" s="151" t="str">
        <f t="shared" si="1"/>
        <v>Don't order</v>
      </c>
      <c r="M16" s="239" t="str">
        <f t="shared" si="2"/>
        <v>Don't order</v>
      </c>
      <c r="N16" s="176">
        <v>0.23</v>
      </c>
      <c r="O16" s="139">
        <f t="shared" si="3"/>
        <v>621.73913043478262</v>
      </c>
      <c r="P16" s="244">
        <v>15</v>
      </c>
      <c r="Q16" s="137">
        <f t="shared" si="4"/>
        <v>121</v>
      </c>
    </row>
    <row r="17" spans="1:21" ht="13.8" thickBot="1">
      <c r="A17" s="278"/>
      <c r="B17" s="180">
        <v>41211</v>
      </c>
      <c r="C17" s="180" t="s">
        <v>168</v>
      </c>
      <c r="D17" s="247" t="s">
        <v>167</v>
      </c>
      <c r="E17" s="238"/>
      <c r="F17" s="180">
        <v>142</v>
      </c>
      <c r="G17" s="246">
        <v>0</v>
      </c>
      <c r="H17" s="246"/>
      <c r="I17" s="172">
        <v>145.19990920000001</v>
      </c>
      <c r="J17" s="172">
        <f t="shared" si="0"/>
        <v>3.1999092000000076</v>
      </c>
      <c r="K17" s="172">
        <v>105.2</v>
      </c>
      <c r="L17" s="141" t="str">
        <f t="shared" si="1"/>
        <v>Can Order up to</v>
      </c>
      <c r="M17" s="245">
        <f t="shared" si="2"/>
        <v>3.1999092000000076</v>
      </c>
      <c r="N17" s="170">
        <v>0.23</v>
      </c>
      <c r="O17" s="139">
        <f t="shared" si="3"/>
        <v>617.39130434782601</v>
      </c>
      <c r="P17" s="244">
        <v>15</v>
      </c>
      <c r="Q17" s="137">
        <f t="shared" si="4"/>
        <v>120</v>
      </c>
    </row>
    <row r="18" spans="1:21" ht="13.8" hidden="1" outlineLevel="1" thickBot="1">
      <c r="A18" s="278"/>
      <c r="B18" s="173">
        <v>41212</v>
      </c>
      <c r="C18" s="173" t="s">
        <v>166</v>
      </c>
      <c r="D18" s="243" t="s">
        <v>165</v>
      </c>
      <c r="E18" s="240"/>
      <c r="F18" s="173"/>
      <c r="G18" s="242"/>
      <c r="H18" s="242"/>
      <c r="I18" s="178">
        <v>0</v>
      </c>
      <c r="J18" s="178" t="b">
        <f t="shared" si="0"/>
        <v>0</v>
      </c>
      <c r="K18" s="178">
        <v>0</v>
      </c>
      <c r="L18" s="167" t="str">
        <f t="shared" si="1"/>
        <v>Don't order</v>
      </c>
      <c r="M18" s="241" t="str">
        <f t="shared" si="2"/>
        <v>Don't order</v>
      </c>
      <c r="N18" s="138"/>
      <c r="O18" s="139" t="e">
        <f t="shared" si="3"/>
        <v>#DIV/0!</v>
      </c>
      <c r="P18" s="202"/>
      <c r="Q18" s="137" t="e">
        <f t="shared" si="4"/>
        <v>#DIV/0!</v>
      </c>
    </row>
    <row r="19" spans="1:21" ht="13.2" collapsed="1">
      <c r="A19" s="278"/>
      <c r="B19" s="173">
        <v>49006</v>
      </c>
      <c r="C19" s="173" t="s">
        <v>164</v>
      </c>
      <c r="D19" s="175" t="s">
        <v>200</v>
      </c>
      <c r="E19" s="240"/>
      <c r="F19" s="173">
        <v>180</v>
      </c>
      <c r="G19" s="165">
        <v>0</v>
      </c>
      <c r="H19" s="165"/>
      <c r="I19" s="178">
        <v>336.07983196000004</v>
      </c>
      <c r="J19" s="178">
        <f t="shared" si="0"/>
        <v>156.07983196000004</v>
      </c>
      <c r="K19" s="178">
        <v>229.04000000000002</v>
      </c>
      <c r="L19" s="151" t="str">
        <f t="shared" si="1"/>
        <v>Must Order</v>
      </c>
      <c r="M19" s="239">
        <f t="shared" si="2"/>
        <v>156.07983196000004</v>
      </c>
      <c r="N19" s="233">
        <v>10.704000000000001</v>
      </c>
      <c r="O19" s="139">
        <f t="shared" si="3"/>
        <v>16.816143497757846</v>
      </c>
      <c r="P19" s="152">
        <v>15</v>
      </c>
      <c r="Q19" s="137">
        <f t="shared" si="4"/>
        <v>0</v>
      </c>
      <c r="U19" s="280"/>
    </row>
    <row r="20" spans="1:21" ht="13.8" thickBot="1">
      <c r="A20" s="278"/>
      <c r="B20" s="180">
        <v>49005</v>
      </c>
      <c r="C20" s="180" t="s">
        <v>162</v>
      </c>
      <c r="D20" s="154" t="s">
        <v>199</v>
      </c>
      <c r="E20" s="240"/>
      <c r="F20" s="180">
        <v>214</v>
      </c>
      <c r="G20" s="179">
        <v>0</v>
      </c>
      <c r="H20" s="179"/>
      <c r="I20" s="178">
        <v>440.24000000000797</v>
      </c>
      <c r="J20" s="178">
        <f t="shared" si="0"/>
        <v>226.24000000000797</v>
      </c>
      <c r="K20" s="178">
        <v>299.12</v>
      </c>
      <c r="L20" s="151" t="str">
        <f t="shared" si="1"/>
        <v>Must Order</v>
      </c>
      <c r="M20" s="239">
        <f t="shared" si="2"/>
        <v>226.24000000000797</v>
      </c>
      <c r="N20" s="185">
        <v>14.112</v>
      </c>
      <c r="O20" s="139">
        <f t="shared" si="3"/>
        <v>15.164399092970521</v>
      </c>
      <c r="P20" s="152">
        <v>15</v>
      </c>
      <c r="Q20" s="137">
        <f t="shared" si="4"/>
        <v>0</v>
      </c>
      <c r="T20" s="94"/>
      <c r="U20" s="280"/>
    </row>
    <row r="21" spans="1:21" ht="13.8" thickBot="1">
      <c r="A21" s="279"/>
      <c r="B21" s="173">
        <v>49004</v>
      </c>
      <c r="C21" s="173" t="s">
        <v>160</v>
      </c>
      <c r="D21" s="175" t="s">
        <v>198</v>
      </c>
      <c r="E21" s="238"/>
      <c r="F21" s="173">
        <v>210</v>
      </c>
      <c r="G21" s="165">
        <v>0</v>
      </c>
      <c r="H21" s="165"/>
      <c r="I21" s="178">
        <v>440.4000000000035</v>
      </c>
      <c r="J21" s="178">
        <f t="shared" si="0"/>
        <v>230.4000000000035</v>
      </c>
      <c r="K21" s="178">
        <v>301.2</v>
      </c>
      <c r="L21" s="237" t="str">
        <f t="shared" si="1"/>
        <v>Must Order</v>
      </c>
      <c r="M21" s="236">
        <f t="shared" si="2"/>
        <v>230.4000000000035</v>
      </c>
      <c r="N21" s="229">
        <v>13.92</v>
      </c>
      <c r="O21" s="139">
        <f t="shared" si="3"/>
        <v>15.086206896551724</v>
      </c>
      <c r="P21" s="157">
        <v>15</v>
      </c>
      <c r="Q21" s="137">
        <f t="shared" si="4"/>
        <v>0</v>
      </c>
      <c r="T21" s="232"/>
      <c r="U21" s="280"/>
    </row>
    <row r="22" spans="1:21" ht="13.2" customHeight="1">
      <c r="A22" s="277" t="s">
        <v>158</v>
      </c>
      <c r="B22" s="180">
        <v>40107</v>
      </c>
      <c r="C22" s="180" t="s">
        <v>157</v>
      </c>
      <c r="D22" s="235" t="s">
        <v>156</v>
      </c>
      <c r="E22" s="234" t="s">
        <v>82</v>
      </c>
      <c r="F22" s="180">
        <v>167</v>
      </c>
      <c r="G22" s="210">
        <v>0</v>
      </c>
      <c r="H22" s="210"/>
      <c r="I22" s="184">
        <v>309.60005739994261</v>
      </c>
      <c r="J22" s="184" t="b">
        <f>IF(-F24-G24+I22&gt;0,-F24-G24+I22,FALSE)</f>
        <v>0</v>
      </c>
      <c r="K22" s="184">
        <v>232.20000000000002</v>
      </c>
      <c r="L22" s="228" t="str">
        <f>IF(AND(F24+G24&lt;K22, J22),"Must Order",IF(F24&lt;I22,"Can Order up to","Don't order" ))</f>
        <v>Don't order</v>
      </c>
      <c r="M22" s="227" t="str">
        <f>IF(AND(F24+G24&lt;K22, J22),J22,IF(J22,J22, "Don't order" ))</f>
        <v>Don't order</v>
      </c>
      <c r="N22" s="233">
        <v>5.16</v>
      </c>
      <c r="O22" s="139">
        <f>F24/N22</f>
        <v>81.782945736434101</v>
      </c>
      <c r="P22" s="157">
        <v>15</v>
      </c>
      <c r="Q22" s="137">
        <f t="shared" si="4"/>
        <v>13</v>
      </c>
      <c r="T22" s="232"/>
      <c r="U22" s="280"/>
    </row>
    <row r="23" spans="1:21" ht="13.8" thickBot="1">
      <c r="A23" s="278"/>
      <c r="B23" s="187">
        <v>40108</v>
      </c>
      <c r="C23" s="187" t="s">
        <v>155</v>
      </c>
      <c r="D23" s="188" t="s">
        <v>154</v>
      </c>
      <c r="E23" s="226"/>
      <c r="F23" s="187">
        <v>161</v>
      </c>
      <c r="G23" s="186">
        <v>0</v>
      </c>
      <c r="H23" s="186"/>
      <c r="I23" s="178">
        <v>161.28002831997168</v>
      </c>
      <c r="J23" s="178">
        <f>IF(-F23-G23+I23&gt;0,-F23-G23+I23,FALSE)</f>
        <v>0.28002831997167732</v>
      </c>
      <c r="K23" s="178">
        <v>120.96000000000001</v>
      </c>
      <c r="L23" s="225" t="str">
        <f>IF(AND(F23+G23&lt;K23, J23),"Must Order",IF(F23&lt;I23,"Can Order up to","Don't order" ))</f>
        <v>Can Order up to</v>
      </c>
      <c r="M23" s="224">
        <f>IF(AND(F23+G23&lt;K23, J23),J23,IF(J23,J23, "Don't order" ))</f>
        <v>0.28002831997167732</v>
      </c>
      <c r="N23" s="185">
        <v>2.6880000000000002</v>
      </c>
      <c r="O23" s="139">
        <f>F23/N23</f>
        <v>59.895833333333329</v>
      </c>
      <c r="P23" s="157">
        <v>15</v>
      </c>
      <c r="Q23" s="137">
        <f t="shared" si="4"/>
        <v>8</v>
      </c>
      <c r="T23" s="232"/>
      <c r="U23" s="280"/>
    </row>
    <row r="24" spans="1:21" ht="13.8" thickBot="1">
      <c r="A24" s="278"/>
      <c r="B24" s="180">
        <v>40109</v>
      </c>
      <c r="C24" s="180" t="s">
        <v>153</v>
      </c>
      <c r="D24" s="154" t="s">
        <v>152</v>
      </c>
      <c r="E24" s="226"/>
      <c r="F24" s="180">
        <v>422</v>
      </c>
      <c r="G24" s="179">
        <v>0</v>
      </c>
      <c r="H24" s="179"/>
      <c r="I24" s="178">
        <v>227.0400000000009</v>
      </c>
      <c r="J24" s="178">
        <f>IF(-F22-G22+I24&gt;0,-F22-G22+I24,FALSE)</f>
        <v>60.040000000000902</v>
      </c>
      <c r="K24" s="178">
        <v>170.28</v>
      </c>
      <c r="L24" s="231" t="str">
        <f>IF(AND(F22+G22&lt;K24, J24),"Must Order",IF(F22&lt;I24,"Can Order up to","Don't order" ))</f>
        <v>Must Order</v>
      </c>
      <c r="M24" s="230">
        <f>IF(AND(F22+G22&lt;K24, J24),J24,IF(J24,J24, "Don't order" ))</f>
        <v>60.040000000000902</v>
      </c>
      <c r="N24" s="229">
        <v>3.7839999999999998</v>
      </c>
      <c r="O24" s="139">
        <f>F22/N24</f>
        <v>44.133192389006346</v>
      </c>
      <c r="P24" s="157">
        <v>15</v>
      </c>
      <c r="Q24" s="137">
        <f t="shared" si="4"/>
        <v>5</v>
      </c>
      <c r="T24" s="94"/>
      <c r="U24" s="280"/>
    </row>
    <row r="25" spans="1:21" ht="13.2">
      <c r="A25" s="278"/>
      <c r="B25" s="173">
        <v>40305</v>
      </c>
      <c r="C25" s="173" t="s">
        <v>151</v>
      </c>
      <c r="D25" s="175" t="s">
        <v>150</v>
      </c>
      <c r="E25" s="226"/>
      <c r="F25" s="173">
        <v>247</v>
      </c>
      <c r="G25" s="165">
        <v>0</v>
      </c>
      <c r="H25" s="165"/>
      <c r="I25" s="184">
        <v>131.99999999999906</v>
      </c>
      <c r="J25" s="184" t="b">
        <f>IF(-F27-G27+I25&gt;0,-F27-G27+I25,FALSE)</f>
        <v>0</v>
      </c>
      <c r="K25" s="184">
        <v>99</v>
      </c>
      <c r="L25" s="228" t="str">
        <f>IF(AND(F27+G27&lt;K25, J25),"Must Order",IF(F27&lt;I25,"Can Order up to","Don't order" ))</f>
        <v>Don't order</v>
      </c>
      <c r="M25" s="227" t="str">
        <f>IF(AND(F27+G27&lt;K25, J25),J25,IF(J25,J25, "Don't order" ))</f>
        <v>Don't order</v>
      </c>
      <c r="N25" s="181">
        <v>2.2000000000000002</v>
      </c>
      <c r="O25" s="139">
        <f>F27/N25</f>
        <v>157.72727272727272</v>
      </c>
      <c r="P25" s="157">
        <v>15</v>
      </c>
      <c r="Q25" s="137">
        <f t="shared" si="4"/>
        <v>28</v>
      </c>
      <c r="U25" s="280"/>
    </row>
    <row r="26" spans="1:21" ht="13.8" thickBot="1">
      <c r="A26" s="278"/>
      <c r="B26" s="180">
        <v>40304</v>
      </c>
      <c r="C26" s="180" t="s">
        <v>149</v>
      </c>
      <c r="D26" s="154" t="s">
        <v>148</v>
      </c>
      <c r="E26" s="226"/>
      <c r="F26" s="180">
        <v>193</v>
      </c>
      <c r="G26" s="179">
        <v>0</v>
      </c>
      <c r="H26" s="179"/>
      <c r="I26" s="178">
        <v>210.71999999999909</v>
      </c>
      <c r="J26" s="178">
        <f>IF(-F26-G26+I26&gt;0,-F26-G26+I26,FALSE)</f>
        <v>17.719999999999089</v>
      </c>
      <c r="K26" s="178">
        <v>158.04</v>
      </c>
      <c r="L26" s="225" t="str">
        <f>IF(AND(F26+G26&lt;K26, J26),"Must Order",IF(F26&lt;I26,"Can Order up to","Don't order" ))</f>
        <v>Can Order up to</v>
      </c>
      <c r="M26" s="224">
        <f>IF(AND(F26+G26&lt;K26, J26),J26,IF(J26,J26, "Don't order" ))</f>
        <v>17.719999999999089</v>
      </c>
      <c r="N26" s="176">
        <v>3.512</v>
      </c>
      <c r="O26" s="139">
        <f>F26/N26</f>
        <v>54.954441913439638</v>
      </c>
      <c r="P26" s="157">
        <v>15</v>
      </c>
      <c r="Q26" s="137">
        <f t="shared" si="4"/>
        <v>7</v>
      </c>
      <c r="U26" s="280"/>
    </row>
    <row r="27" spans="1:21" ht="13.8" thickBot="1">
      <c r="A27" s="278"/>
      <c r="B27" s="173">
        <v>40102</v>
      </c>
      <c r="C27" s="173" t="s">
        <v>147</v>
      </c>
      <c r="D27" s="175" t="s">
        <v>146</v>
      </c>
      <c r="E27" s="223"/>
      <c r="F27" s="173">
        <v>347</v>
      </c>
      <c r="G27" s="165">
        <v>0</v>
      </c>
      <c r="H27" s="165"/>
      <c r="I27" s="172">
        <v>64.680000000000348</v>
      </c>
      <c r="J27" s="172" t="b">
        <f>IF(-F25-G25+I27&gt;0,-F25-G25+I27,FALSE)</f>
        <v>0</v>
      </c>
      <c r="K27" s="172">
        <v>31.679999999999996</v>
      </c>
      <c r="L27" s="222" t="str">
        <f>IF(AND(F25+G25&lt;K27, J27),"Must Order",IF(F25&lt;I27,"Can Order up to","Don't order" ))</f>
        <v>Don't order</v>
      </c>
      <c r="M27" s="221" t="str">
        <f>IF(AND(F25+G25&lt;K27, J27),J27,IF(J27,J27, "Don't order" ))</f>
        <v>Don't order</v>
      </c>
      <c r="N27" s="176">
        <v>0.70399999999999996</v>
      </c>
      <c r="O27" s="139">
        <f>F25/N27</f>
        <v>350.85227272727275</v>
      </c>
      <c r="P27" s="157">
        <v>15</v>
      </c>
      <c r="Q27" s="137">
        <f t="shared" si="4"/>
        <v>67</v>
      </c>
      <c r="U27" s="280"/>
    </row>
    <row r="28" spans="1:21" ht="13.2" hidden="1" outlineLevel="1">
      <c r="A28" s="277" t="s">
        <v>197</v>
      </c>
      <c r="B28" s="180">
        <v>40103</v>
      </c>
      <c r="C28" s="180" t="s">
        <v>145</v>
      </c>
      <c r="D28" s="154" t="s">
        <v>144</v>
      </c>
      <c r="E28" s="220"/>
      <c r="F28" s="180"/>
      <c r="G28" s="179"/>
      <c r="H28" s="179"/>
      <c r="I28" s="219">
        <v>0</v>
      </c>
      <c r="J28" s="184" t="b">
        <f>IF(-F28-G28+I28&gt;0,-F28-G28+I28,FALSE)</f>
        <v>0</v>
      </c>
      <c r="K28" s="219">
        <v>0</v>
      </c>
      <c r="L28" s="183" t="str">
        <f>IF(AND(F28+G28&lt;K28, J28),"Must Order",IF(F28&lt;I28,"Can Order up to","Don't order" ))</f>
        <v>Don't order</v>
      </c>
      <c r="M28" s="218" t="str">
        <f>IF(AND(F28+G28&lt;K28, J28),J28,IF(J28,J28, "Don't order" ))</f>
        <v>Don't order</v>
      </c>
      <c r="N28" s="217"/>
      <c r="O28" s="216" t="e">
        <f>F28/N28</f>
        <v>#DIV/0!</v>
      </c>
      <c r="P28" s="215"/>
      <c r="Q28" s="214" t="e">
        <f t="shared" si="4"/>
        <v>#DIV/0!</v>
      </c>
      <c r="U28" s="280"/>
    </row>
    <row r="29" spans="1:21" ht="13.8" hidden="1" outlineLevel="1" thickBot="1">
      <c r="A29" s="278"/>
      <c r="B29" s="187">
        <v>40104</v>
      </c>
      <c r="C29" s="187" t="s">
        <v>143</v>
      </c>
      <c r="D29" s="188" t="s">
        <v>142</v>
      </c>
      <c r="E29" s="213"/>
      <c r="F29" s="187"/>
      <c r="G29" s="186"/>
      <c r="H29" s="186"/>
      <c r="I29" s="205">
        <v>0</v>
      </c>
      <c r="J29" s="178" t="b">
        <f>IF(-F29-G29+I29&gt;0,-F29-G29+I29,FALSE)</f>
        <v>0</v>
      </c>
      <c r="K29" s="205">
        <v>0</v>
      </c>
      <c r="L29" s="151" t="str">
        <f>IF(AND(F29+G29&lt;K29, J29),"Must Order",IF(F29&lt;I29,"Can Order up to","Don't order" ))</f>
        <v>Don't order</v>
      </c>
      <c r="M29" s="212" t="str">
        <f>IF(AND(F29+G29&lt;K29, J29),J29,IF(J29,J29, "Don't order" ))</f>
        <v>Don't order</v>
      </c>
      <c r="N29" s="202"/>
      <c r="O29" s="203" t="e">
        <f>F29/N29</f>
        <v>#DIV/0!</v>
      </c>
      <c r="P29" s="157"/>
      <c r="Q29" s="201" t="e">
        <f t="shared" si="4"/>
        <v>#DIV/0!</v>
      </c>
      <c r="U29" s="280"/>
    </row>
    <row r="30" spans="1:21" ht="13.8" hidden="1" outlineLevel="1" thickBot="1">
      <c r="A30" s="278"/>
      <c r="B30" s="180">
        <v>40105</v>
      </c>
      <c r="C30" s="180" t="s">
        <v>141</v>
      </c>
      <c r="D30" s="180" t="s">
        <v>140</v>
      </c>
      <c r="E30" s="211"/>
      <c r="F30" s="180"/>
      <c r="G30" s="210"/>
      <c r="H30" s="210"/>
      <c r="I30" s="197">
        <v>0</v>
      </c>
      <c r="J30" s="172" t="b">
        <f>IF(-F30-G30+I30&gt;0,-F30-G30+I30,FALSE)</f>
        <v>0</v>
      </c>
      <c r="K30" s="197">
        <v>0</v>
      </c>
      <c r="L30" s="141" t="str">
        <f>IF(AND(F30+G30&lt;K30, J30),"Must Order",IF(F30&lt;I30,"Can Order up to","Don't order" ))</f>
        <v>Don't order</v>
      </c>
      <c r="M30" s="209" t="str">
        <f>IF(AND(F30+G30&lt;K30, J30),J30,IF(J30,J30, "Don't order" ))</f>
        <v>Don't order</v>
      </c>
      <c r="N30" s="202"/>
      <c r="O30" s="203" t="e">
        <f>F30/N30</f>
        <v>#DIV/0!</v>
      </c>
      <c r="P30" s="202"/>
      <c r="Q30" s="201" t="e">
        <f t="shared" si="4"/>
        <v>#DIV/0!</v>
      </c>
      <c r="U30" s="280"/>
    </row>
    <row r="31" spans="1:21" ht="13.2" hidden="1" outlineLevel="1">
      <c r="A31" s="278"/>
      <c r="B31" s="180">
        <v>40130</v>
      </c>
      <c r="C31" s="180" t="s">
        <v>139</v>
      </c>
      <c r="D31" s="208" t="s">
        <v>138</v>
      </c>
      <c r="E31" s="207"/>
      <c r="F31" s="180"/>
      <c r="G31" s="206"/>
      <c r="H31" s="206"/>
      <c r="I31" s="205">
        <v>0</v>
      </c>
      <c r="J31" s="178" t="b">
        <f>IF(-F31-G31+I31&gt;0,-F31-G31+I31,FALSE)</f>
        <v>0</v>
      </c>
      <c r="K31" s="205">
        <v>0</v>
      </c>
      <c r="L31" s="167" t="str">
        <f>IF(AND(F31+G31&lt;K31, J31),"Must Order",IF(F31&lt;I31,"Can Order up to","Don't order" ))</f>
        <v>Don't order</v>
      </c>
      <c r="M31" s="204" t="str">
        <f>IF(AND(F31+G31&lt;K31, J31),J31,IF(J31,J31, "Don't order" ))</f>
        <v>Don't order</v>
      </c>
      <c r="N31" s="202"/>
      <c r="O31" s="203" t="e">
        <f>F31/N31</f>
        <v>#DIV/0!</v>
      </c>
      <c r="P31" s="202"/>
      <c r="Q31" s="201" t="e">
        <f t="shared" si="4"/>
        <v>#DIV/0!</v>
      </c>
      <c r="U31" s="280"/>
    </row>
    <row r="32" spans="1:21" ht="13.8" hidden="1" outlineLevel="1" thickBot="1">
      <c r="A32" s="279"/>
      <c r="B32" s="187">
        <v>40131</v>
      </c>
      <c r="C32" s="187" t="s">
        <v>137</v>
      </c>
      <c r="D32" s="200" t="s">
        <v>136</v>
      </c>
      <c r="E32" s="199"/>
      <c r="F32" s="187"/>
      <c r="G32" s="198"/>
      <c r="H32" s="198"/>
      <c r="I32" s="197">
        <v>0</v>
      </c>
      <c r="J32" s="172" t="b">
        <f>IF(-F32-G32+I32&gt;0,-F32-G32+I32,FALSE)</f>
        <v>0</v>
      </c>
      <c r="K32" s="197">
        <v>0</v>
      </c>
      <c r="L32" s="141" t="str">
        <f>IF(AND(F32+G32&lt;K32, J32),"Must Order",IF(F32&lt;I32,"Can Order up to","Don't order" ))</f>
        <v>Don't order</v>
      </c>
      <c r="M32" s="196" t="str">
        <f>IF(AND(F32+G32&lt;K32, J32),J32,IF(J32,J32, "Don't order" ))</f>
        <v>Don't order</v>
      </c>
      <c r="N32" s="194"/>
      <c r="O32" s="195" t="e">
        <f>F32/N32</f>
        <v>#DIV/0!</v>
      </c>
      <c r="P32" s="194"/>
      <c r="Q32" s="193" t="e">
        <f t="shared" si="4"/>
        <v>#DIV/0!</v>
      </c>
      <c r="U32" s="280"/>
    </row>
    <row r="33" spans="1:21" ht="13.2" customHeight="1" collapsed="1">
      <c r="A33" s="277" t="s">
        <v>135</v>
      </c>
      <c r="B33" s="180">
        <v>40010</v>
      </c>
      <c r="C33" s="180" t="s">
        <v>134</v>
      </c>
      <c r="D33" s="192" t="s">
        <v>133</v>
      </c>
      <c r="E33" s="191" t="s">
        <v>83</v>
      </c>
      <c r="F33" s="180">
        <v>473</v>
      </c>
      <c r="G33" s="190">
        <v>460</v>
      </c>
      <c r="H33" s="190"/>
      <c r="I33" s="178">
        <v>362.83199999999886</v>
      </c>
      <c r="J33" s="178" t="b">
        <f>IF(-F35-G35+I33&gt;0,-F35-G35+I33,FALSE)</f>
        <v>0</v>
      </c>
      <c r="K33" s="178">
        <v>268</v>
      </c>
      <c r="L33" s="167" t="str">
        <f>IF(AND(F35+G35&lt;K33, J33),"Must Order",IF(F35&lt;I33,"Can Order up to","Don't order" ))</f>
        <v>Don't order</v>
      </c>
      <c r="M33" s="189" t="str">
        <f>IF(AND(F35+G35&lt;K33, J33),J33,IF(J33,J33, "Don't order" ))</f>
        <v>Don't order</v>
      </c>
      <c r="N33" s="185">
        <v>2.2480000000000002</v>
      </c>
      <c r="O33" s="139">
        <f>F35/N33</f>
        <v>504.00355871886114</v>
      </c>
      <c r="P33" s="138">
        <v>42</v>
      </c>
      <c r="Q33" s="137">
        <f t="shared" si="4"/>
        <v>92</v>
      </c>
      <c r="U33" s="280"/>
    </row>
    <row r="34" spans="1:21" ht="13.8" thickBot="1">
      <c r="A34" s="278"/>
      <c r="B34" s="187">
        <v>40009</v>
      </c>
      <c r="C34" s="187" t="s">
        <v>132</v>
      </c>
      <c r="D34" s="188" t="s">
        <v>131</v>
      </c>
      <c r="E34" s="174"/>
      <c r="F34" s="187">
        <v>270</v>
      </c>
      <c r="G34" s="186">
        <v>220</v>
      </c>
      <c r="H34" s="186"/>
      <c r="I34" s="178">
        <v>411.27991564000001</v>
      </c>
      <c r="J34" s="178" t="b">
        <f>IF(-F34-G34+I34&gt;0,-F34-G34+I34,FALSE)</f>
        <v>0</v>
      </c>
      <c r="K34" s="178">
        <v>331</v>
      </c>
      <c r="L34" s="151" t="str">
        <f>IF(AND(F34+G34&lt;K34, J34),"Must Order",IF(F34&lt;I34,"Can Order up to","Don't order" ))</f>
        <v>Can Order up to</v>
      </c>
      <c r="M34" s="177" t="str">
        <f>IF(AND(F34+G34&lt;K34, J34),J34,IF(J34,J34, "Don't order" ))</f>
        <v>Don't order</v>
      </c>
      <c r="N34" s="185">
        <v>1.92</v>
      </c>
      <c r="O34" s="139">
        <f>F34/N34</f>
        <v>140.625</v>
      </c>
      <c r="P34" s="138">
        <v>42</v>
      </c>
      <c r="Q34" s="137">
        <f t="shared" si="4"/>
        <v>19</v>
      </c>
      <c r="U34" s="280"/>
    </row>
    <row r="35" spans="1:21" ht="13.8" thickBot="1">
      <c r="A35" s="278"/>
      <c r="B35" s="180">
        <v>40008</v>
      </c>
      <c r="C35" s="180" t="s">
        <v>130</v>
      </c>
      <c r="D35" s="154" t="s">
        <v>129</v>
      </c>
      <c r="E35" s="174"/>
      <c r="F35" s="180">
        <v>1133</v>
      </c>
      <c r="G35" s="179">
        <v>0</v>
      </c>
      <c r="H35" s="179"/>
      <c r="I35" s="172">
        <v>498.46407668799998</v>
      </c>
      <c r="J35" s="172" t="b">
        <f>IF(-F33-G33+I35&gt;0,-F33-G33+I35,FALSE)</f>
        <v>0</v>
      </c>
      <c r="K35" s="172">
        <v>385</v>
      </c>
      <c r="L35" s="141" t="str">
        <f>IF(AND(F33+G33&lt;K35, J35),"Must Order",IF(F33&lt;I35,"Can Order up to","Don't order" ))</f>
        <v>Can Order up to</v>
      </c>
      <c r="M35" s="171" t="str">
        <f>IF(AND(F33+G33&lt;K35, J35),J35,IF(J35,J35, "Don't order" ))</f>
        <v>Don't order</v>
      </c>
      <c r="N35" s="185">
        <v>2.6960000000000002</v>
      </c>
      <c r="O35" s="139">
        <f>F33/N35</f>
        <v>175.44510385756675</v>
      </c>
      <c r="P35" s="138">
        <v>42</v>
      </c>
      <c r="Q35" s="137">
        <f t="shared" si="4"/>
        <v>26</v>
      </c>
      <c r="U35" s="280"/>
    </row>
    <row r="36" spans="1:21" ht="13.2">
      <c r="A36" s="278"/>
      <c r="B36" s="173">
        <v>40013</v>
      </c>
      <c r="C36" s="173" t="s">
        <v>128</v>
      </c>
      <c r="D36" s="175" t="s">
        <v>127</v>
      </c>
      <c r="E36" s="174"/>
      <c r="F36" s="173">
        <v>228</v>
      </c>
      <c r="G36" s="165">
        <v>0</v>
      </c>
      <c r="H36" s="165"/>
      <c r="I36" s="184">
        <v>91.072000000000443</v>
      </c>
      <c r="J36" s="184" t="b">
        <f>IF(-F38-G38+I36&gt;0,-F38-G38+I36,FALSE)</f>
        <v>0</v>
      </c>
      <c r="K36" s="184">
        <v>51</v>
      </c>
      <c r="L36" s="183" t="str">
        <f>IF(AND(F38+G38&lt;K36, J36),"Must Order",IF(F38&lt;I36,"Can Order up to","Don't order" ))</f>
        <v>Don't order</v>
      </c>
      <c r="M36" s="182" t="str">
        <f>IF(AND(F38+G38&lt;K36, J36),J36,IF(J36,J36, "Don't order" ))</f>
        <v>Don't order</v>
      </c>
      <c r="N36" s="181">
        <v>0.216</v>
      </c>
      <c r="O36" s="139">
        <f>F38/N36</f>
        <v>1023.1481481481482</v>
      </c>
      <c r="P36" s="138">
        <v>42</v>
      </c>
      <c r="Q36" s="137">
        <f t="shared" si="4"/>
        <v>196</v>
      </c>
      <c r="U36" s="280"/>
    </row>
    <row r="37" spans="1:21" ht="13.8" thickBot="1">
      <c r="A37" s="278"/>
      <c r="B37" s="180">
        <v>40012</v>
      </c>
      <c r="C37" s="180" t="s">
        <v>126</v>
      </c>
      <c r="D37" s="154" t="s">
        <v>125</v>
      </c>
      <c r="E37" s="174"/>
      <c r="F37" s="180">
        <v>221</v>
      </c>
      <c r="G37" s="179">
        <v>0</v>
      </c>
      <c r="H37" s="179"/>
      <c r="I37" s="178">
        <v>71.120000000000488</v>
      </c>
      <c r="J37" s="178" t="b">
        <f>IF(-F37-G37+I37&gt;0,-F37-G37+I37,FALSE)</f>
        <v>0</v>
      </c>
      <c r="K37" s="178">
        <v>31</v>
      </c>
      <c r="L37" s="151" t="str">
        <f>IF(AND(F37+G37&lt;K37, J37),"Must Order",IF(F37&lt;I37,"Can Order up to","Don't order" ))</f>
        <v>Don't order</v>
      </c>
      <c r="M37" s="177" t="str">
        <f>IF(AND(F37+G37&lt;K37, J37),J37,IF(J37,J37, "Don't order" ))</f>
        <v>Don't order</v>
      </c>
      <c r="N37" s="176">
        <v>0.36</v>
      </c>
      <c r="O37" s="139">
        <f>F37/N37</f>
        <v>613.88888888888891</v>
      </c>
      <c r="P37" s="138">
        <v>42</v>
      </c>
      <c r="Q37" s="137">
        <f t="shared" si="4"/>
        <v>114</v>
      </c>
    </row>
    <row r="38" spans="1:21" ht="13.8" thickBot="1">
      <c r="A38" s="279"/>
      <c r="B38" s="173">
        <v>40011</v>
      </c>
      <c r="C38" s="173" t="s">
        <v>124</v>
      </c>
      <c r="D38" s="175" t="s">
        <v>123</v>
      </c>
      <c r="E38" s="174"/>
      <c r="F38" s="173">
        <v>221</v>
      </c>
      <c r="G38" s="165">
        <v>0</v>
      </c>
      <c r="H38" s="165"/>
      <c r="I38" s="172">
        <v>69.680000000000717</v>
      </c>
      <c r="J38" s="172" t="b">
        <f>IF(-F36-G36+I38&gt;0,-F36-G36+I38,FALSE)</f>
        <v>0</v>
      </c>
      <c r="K38" s="172">
        <v>30</v>
      </c>
      <c r="L38" s="141" t="str">
        <f>IF(AND(F36+G36&lt;K38, J38),"Must Order",IF(F36&lt;I38,"Can Order up to","Don't order" ))</f>
        <v>Don't order</v>
      </c>
      <c r="M38" s="171" t="str">
        <f>IF(AND(F36+G36&lt;K38, J38),J38,IF(J38,J38, "Don't order" ))</f>
        <v>Don't order</v>
      </c>
      <c r="N38" s="170">
        <v>0.04</v>
      </c>
      <c r="O38" s="139">
        <f>F36/N38</f>
        <v>5700</v>
      </c>
      <c r="P38" s="138">
        <v>42</v>
      </c>
      <c r="Q38" s="137">
        <f t="shared" si="4"/>
        <v>1131</v>
      </c>
    </row>
    <row r="39" spans="1:21" ht="13.2" hidden="1" outlineLevel="1">
      <c r="A39" s="277" t="s">
        <v>196</v>
      </c>
      <c r="B39" s="164">
        <v>40026</v>
      </c>
      <c r="C39" s="163" t="s">
        <v>122</v>
      </c>
      <c r="D39" s="162" t="s">
        <v>121</v>
      </c>
      <c r="E39" s="156"/>
      <c r="F39" s="169">
        <v>0</v>
      </c>
      <c r="G39" s="168"/>
      <c r="H39" s="165" t="e">
        <f>HLOOKUP(Purchase!B39,'[3]Visual Inventory'!$B$59:$AF$68,10,0)</f>
        <v>#N/A</v>
      </c>
      <c r="I39" s="152">
        <v>0</v>
      </c>
      <c r="J39" s="153" t="b">
        <f t="shared" ref="J39:J44" si="5">IF(-F39-G39+I39&gt;0,-F39-G39+I39,FALSE)</f>
        <v>0</v>
      </c>
      <c r="K39" s="152">
        <v>0</v>
      </c>
      <c r="L39" s="167" t="str">
        <f t="shared" ref="L39:L44" si="6">IF(AND(F39+G39&lt;K39, J39),"Must Order",IF(F39&lt;I39,"Can Order up to","Don't order" ))</f>
        <v>Don't order</v>
      </c>
      <c r="M39" s="166" t="str">
        <f t="shared" ref="M39:M44" si="7">IF(AND(F39+G39&lt;K39, J39),J39,IF(J39,J39, "Don't order" ))</f>
        <v>Don't order</v>
      </c>
      <c r="N39" s="138"/>
      <c r="O39" s="139" t="e">
        <f t="shared" ref="O39:O44" si="8">F39/N39</f>
        <v>#DIV/0!</v>
      </c>
      <c r="P39" s="138"/>
      <c r="Q39" s="137" t="e">
        <f t="shared" si="4"/>
        <v>#DIV/0!</v>
      </c>
    </row>
    <row r="40" spans="1:21" ht="13.2" hidden="1" outlineLevel="1">
      <c r="A40" s="278"/>
      <c r="B40" s="159">
        <v>40027</v>
      </c>
      <c r="C40" s="158" t="s">
        <v>120</v>
      </c>
      <c r="D40" s="157" t="s">
        <v>119</v>
      </c>
      <c r="E40" s="156"/>
      <c r="F40" s="155">
        <v>0</v>
      </c>
      <c r="G40" s="154"/>
      <c r="H40" s="165" t="e">
        <f>HLOOKUP(Purchase!B40,'[3]Visual Inventory'!$B$59:$AF$68,10,0)</f>
        <v>#N/A</v>
      </c>
      <c r="I40" s="152">
        <v>0</v>
      </c>
      <c r="J40" s="153" t="b">
        <f t="shared" si="5"/>
        <v>0</v>
      </c>
      <c r="K40" s="152">
        <v>0</v>
      </c>
      <c r="L40" s="151" t="str">
        <f t="shared" si="6"/>
        <v>Don't order</v>
      </c>
      <c r="M40" s="150" t="str">
        <f t="shared" si="7"/>
        <v>Don't order</v>
      </c>
      <c r="N40" s="138"/>
      <c r="O40" s="139" t="e">
        <f t="shared" si="8"/>
        <v>#DIV/0!</v>
      </c>
      <c r="P40" s="138"/>
      <c r="Q40" s="137" t="e">
        <f t="shared" si="4"/>
        <v>#DIV/0!</v>
      </c>
    </row>
    <row r="41" spans="1:21" ht="13.2" hidden="1" outlineLevel="1">
      <c r="A41" s="278"/>
      <c r="B41" s="164">
        <v>40028</v>
      </c>
      <c r="C41" s="163" t="s">
        <v>118</v>
      </c>
      <c r="D41" s="162" t="s">
        <v>117</v>
      </c>
      <c r="E41" s="156"/>
      <c r="F41" s="161">
        <v>0</v>
      </c>
      <c r="G41" s="160"/>
      <c r="H41" s="165" t="e">
        <f>HLOOKUP(Purchase!B41,'[3]Visual Inventory'!$B$59:$AF$68,10,0)</f>
        <v>#N/A</v>
      </c>
      <c r="I41" s="152">
        <v>0</v>
      </c>
      <c r="J41" s="153" t="b">
        <f t="shared" si="5"/>
        <v>0</v>
      </c>
      <c r="K41" s="152">
        <v>0</v>
      </c>
      <c r="L41" s="151" t="str">
        <f t="shared" si="6"/>
        <v>Don't order</v>
      </c>
      <c r="M41" s="150" t="str">
        <f t="shared" si="7"/>
        <v>Don't order</v>
      </c>
      <c r="N41" s="138"/>
      <c r="O41" s="139" t="e">
        <f t="shared" si="8"/>
        <v>#DIV/0!</v>
      </c>
      <c r="P41" s="138"/>
      <c r="Q41" s="137" t="e">
        <f t="shared" si="4"/>
        <v>#DIV/0!</v>
      </c>
    </row>
    <row r="42" spans="1:21" ht="13.2" hidden="1" outlineLevel="1">
      <c r="A42" s="278"/>
      <c r="B42" s="164">
        <v>40029</v>
      </c>
      <c r="C42" s="163" t="s">
        <v>116</v>
      </c>
      <c r="D42" s="162" t="s">
        <v>115</v>
      </c>
      <c r="E42" s="156"/>
      <c r="F42" s="161">
        <v>0</v>
      </c>
      <c r="G42" s="160"/>
      <c r="I42" s="152">
        <v>0</v>
      </c>
      <c r="J42" s="153" t="b">
        <f t="shared" si="5"/>
        <v>0</v>
      </c>
      <c r="K42" s="152">
        <v>0</v>
      </c>
      <c r="L42" s="151" t="str">
        <f t="shared" si="6"/>
        <v>Don't order</v>
      </c>
      <c r="M42" s="150" t="str">
        <f t="shared" si="7"/>
        <v>Don't order</v>
      </c>
      <c r="N42" s="138"/>
      <c r="O42" s="139" t="e">
        <f t="shared" si="8"/>
        <v>#DIV/0!</v>
      </c>
      <c r="P42" s="138"/>
      <c r="Q42" s="137" t="e">
        <f t="shared" si="4"/>
        <v>#DIV/0!</v>
      </c>
    </row>
    <row r="43" spans="1:21" ht="13.2" hidden="1" outlineLevel="1">
      <c r="A43" s="278"/>
      <c r="B43" s="159">
        <v>40030</v>
      </c>
      <c r="C43" s="158" t="s">
        <v>114</v>
      </c>
      <c r="D43" s="157" t="s">
        <v>113</v>
      </c>
      <c r="E43" s="156"/>
      <c r="F43" s="155">
        <v>0</v>
      </c>
      <c r="G43" s="154"/>
      <c r="I43" s="152">
        <v>0</v>
      </c>
      <c r="J43" s="153" t="b">
        <f t="shared" si="5"/>
        <v>0</v>
      </c>
      <c r="K43" s="152">
        <v>0</v>
      </c>
      <c r="L43" s="151" t="str">
        <f t="shared" si="6"/>
        <v>Don't order</v>
      </c>
      <c r="M43" s="150" t="str">
        <f t="shared" si="7"/>
        <v>Don't order</v>
      </c>
      <c r="N43" s="138"/>
      <c r="O43" s="139" t="e">
        <f t="shared" si="8"/>
        <v>#DIV/0!</v>
      </c>
      <c r="P43" s="138"/>
      <c r="Q43" s="137" t="e">
        <f t="shared" si="4"/>
        <v>#DIV/0!</v>
      </c>
    </row>
    <row r="44" spans="1:21" ht="13.8" hidden="1" outlineLevel="1" thickBot="1">
      <c r="A44" s="279"/>
      <c r="B44" s="149">
        <v>40031</v>
      </c>
      <c r="C44" s="148" t="s">
        <v>112</v>
      </c>
      <c r="D44" s="147" t="s">
        <v>111</v>
      </c>
      <c r="E44" s="146"/>
      <c r="F44" s="145">
        <v>0</v>
      </c>
      <c r="G44" s="144"/>
      <c r="I44" s="142">
        <v>0</v>
      </c>
      <c r="J44" s="143" t="b">
        <f t="shared" si="5"/>
        <v>0</v>
      </c>
      <c r="K44" s="142">
        <v>0</v>
      </c>
      <c r="L44" s="141" t="str">
        <f t="shared" si="6"/>
        <v>Don't order</v>
      </c>
      <c r="M44" s="140" t="str">
        <f t="shared" si="7"/>
        <v>Don't order</v>
      </c>
      <c r="N44" s="138"/>
      <c r="O44" s="139" t="e">
        <f t="shared" si="8"/>
        <v>#DIV/0!</v>
      </c>
      <c r="P44" s="138"/>
      <c r="Q44" s="137" t="e">
        <f t="shared" si="4"/>
        <v>#DIV/0!</v>
      </c>
    </row>
    <row r="45" spans="1:21" collapsed="1">
      <c r="A45" s="93"/>
      <c r="B45" s="93"/>
      <c r="C45" s="93"/>
      <c r="D45" s="93"/>
      <c r="E45" s="136"/>
      <c r="F45" s="93"/>
      <c r="G45" s="93"/>
      <c r="I45" s="93"/>
      <c r="J45" s="93"/>
      <c r="K45" s="93"/>
      <c r="L45" s="93"/>
      <c r="M45" s="93"/>
      <c r="N45" s="92"/>
    </row>
    <row r="46" spans="1:21">
      <c r="A46" s="93"/>
      <c r="I46" s="93"/>
      <c r="J46" s="93"/>
      <c r="K46" s="93"/>
      <c r="L46" s="93"/>
      <c r="N46" s="92"/>
    </row>
    <row r="47" spans="1:21">
      <c r="A47" s="93"/>
      <c r="B47" s="93"/>
      <c r="C47" s="93"/>
      <c r="D47" s="93"/>
      <c r="E47" s="136"/>
      <c r="F47" s="93"/>
      <c r="G47" s="93"/>
      <c r="I47" s="93"/>
      <c r="J47" s="93"/>
      <c r="K47" s="93"/>
      <c r="L47" s="93"/>
      <c r="N47" s="92"/>
    </row>
    <row r="48" spans="1:21" ht="13.2">
      <c r="G48" s="91"/>
      <c r="I48" s="91"/>
      <c r="J48" s="91"/>
      <c r="K48" s="91"/>
      <c r="L48" s="91"/>
    </row>
  </sheetData>
  <protectedRanges>
    <protectedRange password="C482" sqref="F6:G38" name="Edit range"/>
    <protectedRange sqref="F6:G38" name="PurchaseSheet"/>
  </protectedRanges>
  <mergeCells count="12">
    <mergeCell ref="A6:A21"/>
    <mergeCell ref="U13:U15"/>
    <mergeCell ref="U19:U21"/>
    <mergeCell ref="U22:U24"/>
    <mergeCell ref="A33:A38"/>
    <mergeCell ref="A39:A44"/>
    <mergeCell ref="A22:A27"/>
    <mergeCell ref="A28:A32"/>
    <mergeCell ref="U25:U27"/>
    <mergeCell ref="U28:U30"/>
    <mergeCell ref="U31:U33"/>
    <mergeCell ref="U34:U36"/>
  </mergeCells>
  <conditionalFormatting sqref="Z15 Z23 Z25:Z35 M6:M44">
    <cfRule type="expression" dxfId="1" priority="1" stopIfTrue="1">
      <formula>$M6="Don't order"</formula>
    </cfRule>
  </conditionalFormatting>
  <pageMargins left="1" right="0.25" top="0.75" bottom="0.75" header="0.3" footer="0.3"/>
  <pageSetup orientation="portrait" r:id="rId1"/>
  <headerFooter alignWithMargins="0">
    <oddFooter>&amp;C&amp;Z&amp;F</oddFooter>
  </headerFooter>
  <colBreaks count="1" manualBreakCount="1">
    <brk id="5" max="43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641D8-F037-4605-A614-BCDBDCC394F8}">
  <sheetPr codeName="Sheet2">
    <pageSetUpPr fitToPage="1"/>
  </sheetPr>
  <dimension ref="A1:X48"/>
  <sheetViews>
    <sheetView view="pageBreakPreview" topLeftCell="A19" zoomScale="70" zoomScaleNormal="100" zoomScaleSheetLayoutView="70" workbookViewId="0">
      <selection activeCell="F56" sqref="F56"/>
    </sheetView>
  </sheetViews>
  <sheetFormatPr defaultColWidth="9.109375" defaultRowHeight="13.2" outlineLevelRow="1"/>
  <cols>
    <col min="1" max="1" width="11.5546875" style="90" bestFit="1" customWidth="1"/>
    <col min="2" max="2" width="11.33203125" style="90" bestFit="1" customWidth="1"/>
    <col min="3" max="3" width="29.33203125" style="90" bestFit="1" customWidth="1"/>
    <col min="4" max="4" width="31" style="90" bestFit="1" customWidth="1"/>
    <col min="5" max="5" width="19.5546875" style="90" customWidth="1"/>
    <col min="6" max="6" width="19.44140625" style="90" customWidth="1"/>
    <col min="7" max="7" width="24.88671875" style="90" customWidth="1"/>
    <col min="8" max="8" width="20.33203125" style="90" customWidth="1"/>
    <col min="9" max="9" width="20.109375" style="90" customWidth="1"/>
    <col min="10" max="10" width="26.88671875" style="90" customWidth="1"/>
    <col min="11" max="11" width="18.44140625" style="90" customWidth="1"/>
    <col min="12" max="12" width="33.88671875" style="90" customWidth="1"/>
    <col min="13" max="13" width="10.33203125" style="90" bestFit="1" customWidth="1"/>
    <col min="14" max="14" width="6.33203125" style="90" bestFit="1" customWidth="1"/>
    <col min="15" max="15" width="11.6640625" style="90" bestFit="1" customWidth="1"/>
    <col min="16" max="18" width="9.109375" style="90"/>
    <col min="19" max="19" width="11.6640625" style="90" bestFit="1" customWidth="1"/>
    <col min="20" max="16384" width="9.109375" style="90"/>
  </cols>
  <sheetData>
    <row r="1" spans="1:24" ht="22.8">
      <c r="C1" s="134" t="s">
        <v>195</v>
      </c>
      <c r="D1" s="134"/>
      <c r="E1" s="133"/>
      <c r="F1" s="133"/>
    </row>
    <row r="2" spans="1:24" ht="26.1" customHeight="1">
      <c r="A2" s="129" t="s">
        <v>194</v>
      </c>
      <c r="B2" s="129"/>
      <c r="C2" s="132"/>
      <c r="D2" s="130"/>
      <c r="E2" s="130"/>
      <c r="F2" s="129"/>
    </row>
    <row r="3" spans="1:24" ht="26.1" customHeight="1">
      <c r="A3" s="129" t="s">
        <v>193</v>
      </c>
      <c r="B3" s="129"/>
      <c r="C3" s="131"/>
      <c r="D3" s="130"/>
      <c r="E3" s="130"/>
      <c r="F3" s="129"/>
    </row>
    <row r="4" spans="1:24" ht="26.1" customHeight="1" thickBot="1">
      <c r="A4" s="129"/>
      <c r="B4" s="129"/>
      <c r="C4" s="129"/>
      <c r="D4" s="129"/>
      <c r="E4" s="129"/>
      <c r="F4" s="129"/>
      <c r="M4" s="128"/>
    </row>
    <row r="5" spans="1:24" ht="25.95" customHeight="1" thickBot="1">
      <c r="A5" s="127" t="s">
        <v>192</v>
      </c>
      <c r="B5" s="125" t="s">
        <v>191</v>
      </c>
      <c r="C5" s="126" t="s">
        <v>190</v>
      </c>
      <c r="D5" s="125" t="s">
        <v>189</v>
      </c>
      <c r="E5" s="124" t="s">
        <v>188</v>
      </c>
      <c r="F5" s="124" t="s">
        <v>187</v>
      </c>
      <c r="G5" s="124" t="s">
        <v>65</v>
      </c>
      <c r="M5" s="92"/>
      <c r="R5" s="280"/>
      <c r="S5" s="280"/>
      <c r="T5" s="280"/>
      <c r="U5" s="280"/>
      <c r="V5" s="280"/>
      <c r="W5" s="280"/>
      <c r="X5" s="280"/>
    </row>
    <row r="6" spans="1:24" ht="20.399999999999999" customHeight="1" outlineLevel="1">
      <c r="A6" s="284" t="s">
        <v>186</v>
      </c>
      <c r="B6" s="112">
        <v>40200</v>
      </c>
      <c r="C6" s="111" t="s">
        <v>164</v>
      </c>
      <c r="D6" s="110" t="s">
        <v>185</v>
      </c>
      <c r="E6" s="122"/>
      <c r="F6" s="121">
        <f>VLOOKUP('Count Inventory'!B6,Purchase!$B$5:$G$38,5,0)</f>
        <v>4012</v>
      </c>
      <c r="G6" s="121">
        <f>VLOOKUP('Count Inventory'!B6,Purchase!$B$5:$G$38,6,0)</f>
        <v>1428</v>
      </c>
      <c r="H6" s="123"/>
      <c r="I6" s="123"/>
      <c r="M6" s="92"/>
    </row>
    <row r="7" spans="1:24" ht="26.1" customHeight="1" outlineLevel="1">
      <c r="A7" s="284"/>
      <c r="B7" s="107">
        <v>40201</v>
      </c>
      <c r="C7" s="106" t="s">
        <v>162</v>
      </c>
      <c r="D7" s="105" t="s">
        <v>184</v>
      </c>
      <c r="E7" s="104"/>
      <c r="F7" s="114">
        <f>VLOOKUP('Count Inventory'!B7,Purchase!$B$5:$G$38,5,0)</f>
        <v>4386</v>
      </c>
      <c r="G7" s="114">
        <f>VLOOKUP('Count Inventory'!B7,Purchase!$B$5:$G$38,6,0)</f>
        <v>2890</v>
      </c>
      <c r="H7" s="95"/>
      <c r="I7" s="95"/>
      <c r="M7" s="92"/>
      <c r="U7" s="280"/>
    </row>
    <row r="8" spans="1:24" ht="26.1" customHeight="1" outlineLevel="1">
      <c r="A8" s="284"/>
      <c r="B8" s="112">
        <v>40202</v>
      </c>
      <c r="C8" s="111" t="s">
        <v>160</v>
      </c>
      <c r="D8" s="110" t="s">
        <v>183</v>
      </c>
      <c r="E8" s="122"/>
      <c r="F8" s="121">
        <f>VLOOKUP('Count Inventory'!B8,Purchase!$B$5:$G$38,5,0)</f>
        <v>2482</v>
      </c>
      <c r="G8" s="121">
        <f>VLOOKUP('Count Inventory'!B8,Purchase!$B$5:$G$38,6,0)</f>
        <v>714</v>
      </c>
      <c r="H8" s="96"/>
      <c r="I8" s="96"/>
      <c r="M8" s="92"/>
      <c r="U8" s="280"/>
    </row>
    <row r="9" spans="1:24" ht="26.1" customHeight="1">
      <c r="A9" s="284"/>
      <c r="B9" s="107">
        <v>40209</v>
      </c>
      <c r="C9" s="106" t="s">
        <v>128</v>
      </c>
      <c r="D9" s="105" t="s">
        <v>182</v>
      </c>
      <c r="E9" s="104"/>
      <c r="F9" s="114">
        <f>VLOOKUP('Count Inventory'!B9,Purchase!$B$5:$G$38,5,0)</f>
        <v>142</v>
      </c>
      <c r="G9" s="114">
        <f>VLOOKUP('Count Inventory'!B9,Purchase!$B$5:$G$38,6,0)</f>
        <v>170</v>
      </c>
      <c r="H9" s="95"/>
      <c r="I9" s="95"/>
      <c r="M9" s="92"/>
      <c r="U9" s="280"/>
    </row>
    <row r="10" spans="1:24" ht="26.1" customHeight="1">
      <c r="A10" s="284"/>
      <c r="B10" s="112">
        <v>40210</v>
      </c>
      <c r="C10" s="111" t="s">
        <v>126</v>
      </c>
      <c r="D10" s="110" t="s">
        <v>181</v>
      </c>
      <c r="E10" s="122"/>
      <c r="F10" s="121">
        <f>VLOOKUP('Count Inventory'!B10,Purchase!$B$5:$G$38,5,0)</f>
        <v>56</v>
      </c>
      <c r="G10" s="121">
        <f>VLOOKUP('Count Inventory'!B10,Purchase!$B$5:$G$38,6,0)</f>
        <v>238</v>
      </c>
      <c r="H10" s="95"/>
      <c r="I10" s="95"/>
      <c r="M10" s="92"/>
      <c r="U10" s="280"/>
    </row>
    <row r="11" spans="1:24" ht="26.1" customHeight="1">
      <c r="A11" s="284"/>
      <c r="B11" s="107">
        <v>40211</v>
      </c>
      <c r="C11" s="106" t="s">
        <v>180</v>
      </c>
      <c r="D11" s="105" t="s">
        <v>179</v>
      </c>
      <c r="E11" s="104"/>
      <c r="F11" s="114">
        <f>VLOOKUP('Count Inventory'!B11,Purchase!$B$5:$G$38,5,0)</f>
        <v>64</v>
      </c>
      <c r="G11" s="114">
        <f>VLOOKUP('Count Inventory'!B11,Purchase!$B$5:$G$38,6,0)</f>
        <v>408</v>
      </c>
      <c r="H11" s="96"/>
      <c r="I11" s="96"/>
      <c r="M11" s="92"/>
      <c r="U11" s="280"/>
    </row>
    <row r="12" spans="1:24" ht="26.1" customHeight="1">
      <c r="A12" s="284"/>
      <c r="B12" s="112">
        <v>41200</v>
      </c>
      <c r="C12" s="111" t="s">
        <v>178</v>
      </c>
      <c r="D12" s="110" t="s">
        <v>177</v>
      </c>
      <c r="E12" s="122"/>
      <c r="F12" s="121">
        <f>VLOOKUP('Count Inventory'!B12,Purchase!$B$5:$G$38,5,0)</f>
        <v>156</v>
      </c>
      <c r="G12" s="121">
        <f>VLOOKUP('Count Inventory'!B12,Purchase!$B$5:$G$38,6,0)</f>
        <v>0</v>
      </c>
      <c r="H12" s="95"/>
      <c r="I12" s="95"/>
      <c r="M12" s="92"/>
      <c r="U12" s="280"/>
    </row>
    <row r="13" spans="1:24" ht="26.1" customHeight="1">
      <c r="A13" s="284"/>
      <c r="B13" s="107">
        <v>41201</v>
      </c>
      <c r="C13" s="106" t="s">
        <v>176</v>
      </c>
      <c r="D13" s="105" t="s">
        <v>175</v>
      </c>
      <c r="E13" s="104"/>
      <c r="F13" s="114">
        <f>VLOOKUP('Count Inventory'!B13,Purchase!$B$5:$G$38,5,0)</f>
        <v>217</v>
      </c>
      <c r="G13" s="114">
        <f>VLOOKUP('Count Inventory'!B13,Purchase!$B$5:$G$38,6,0)</f>
        <v>0</v>
      </c>
      <c r="H13" s="96"/>
      <c r="I13" s="96"/>
      <c r="M13" s="92"/>
      <c r="U13" s="280"/>
    </row>
    <row r="14" spans="1:24" ht="26.1" customHeight="1">
      <c r="A14" s="284"/>
      <c r="B14" s="112">
        <v>41202</v>
      </c>
      <c r="C14" s="111" t="s">
        <v>174</v>
      </c>
      <c r="D14" s="110" t="s">
        <v>173</v>
      </c>
      <c r="E14" s="122"/>
      <c r="F14" s="121">
        <f>VLOOKUP('Count Inventory'!B14,Purchase!$B$5:$G$38,5,0)</f>
        <v>165</v>
      </c>
      <c r="G14" s="121">
        <f>VLOOKUP('Count Inventory'!B14,Purchase!$B$5:$G$38,6,0)</f>
        <v>0</v>
      </c>
      <c r="H14" s="95"/>
      <c r="I14" s="95"/>
      <c r="M14" s="92"/>
      <c r="U14" s="280"/>
    </row>
    <row r="15" spans="1:24" ht="26.1" customHeight="1">
      <c r="A15" s="284"/>
      <c r="B15" s="107">
        <v>41209</v>
      </c>
      <c r="C15" s="106" t="s">
        <v>172</v>
      </c>
      <c r="D15" s="105" t="s">
        <v>171</v>
      </c>
      <c r="E15" s="104"/>
      <c r="F15" s="114">
        <f>VLOOKUP('Count Inventory'!B15,Purchase!$B$5:$G$38,5,0)</f>
        <v>151</v>
      </c>
      <c r="G15" s="114">
        <f>VLOOKUP('Count Inventory'!B15,Purchase!$B$5:$G$38,6,0)</f>
        <v>0</v>
      </c>
      <c r="H15" s="96"/>
      <c r="I15" s="96"/>
      <c r="M15" s="92"/>
      <c r="U15" s="280"/>
    </row>
    <row r="16" spans="1:24" ht="26.1" customHeight="1">
      <c r="A16" s="284"/>
      <c r="B16" s="112">
        <v>41210</v>
      </c>
      <c r="C16" s="111" t="s">
        <v>170</v>
      </c>
      <c r="D16" s="110" t="s">
        <v>169</v>
      </c>
      <c r="E16" s="122"/>
      <c r="F16" s="121">
        <f>VLOOKUP('Count Inventory'!B16,Purchase!$B$5:$G$38,5,0)</f>
        <v>143</v>
      </c>
      <c r="G16" s="121">
        <f>VLOOKUP('Count Inventory'!B16,Purchase!$B$5:$G$38,6,0)</f>
        <v>0</v>
      </c>
      <c r="H16" s="96"/>
      <c r="I16" s="96"/>
      <c r="M16" s="92"/>
    </row>
    <row r="17" spans="1:21" ht="26.1" customHeight="1">
      <c r="A17" s="284"/>
      <c r="B17" s="107">
        <v>41211</v>
      </c>
      <c r="C17" s="106" t="s">
        <v>168</v>
      </c>
      <c r="D17" s="105" t="s">
        <v>167</v>
      </c>
      <c r="E17" s="104"/>
      <c r="F17" s="114">
        <f>VLOOKUP('Count Inventory'!B17,Purchase!$B$5:$G$38,5,0)</f>
        <v>142</v>
      </c>
      <c r="G17" s="114">
        <f>VLOOKUP('Count Inventory'!B17,Purchase!$B$5:$G$38,6,0)</f>
        <v>0</v>
      </c>
      <c r="H17" s="95"/>
      <c r="I17" s="95"/>
      <c r="M17" s="92"/>
    </row>
    <row r="18" spans="1:21" ht="26.1" hidden="1" customHeight="1" outlineLevel="1">
      <c r="A18" s="284"/>
      <c r="B18" s="112">
        <v>41212</v>
      </c>
      <c r="C18" s="111" t="s">
        <v>166</v>
      </c>
      <c r="D18" s="110" t="s">
        <v>165</v>
      </c>
      <c r="E18" s="122"/>
      <c r="F18" s="121">
        <f>VLOOKUP('Count Inventory'!B18,Purchase!$B$5:$G$38,5,0)</f>
        <v>0</v>
      </c>
      <c r="G18" s="121">
        <f>VLOOKUP('Count Inventory'!B18,Purchase!$B$5:$G$38,6,0)</f>
        <v>0</v>
      </c>
      <c r="H18" s="96"/>
      <c r="I18" s="96"/>
      <c r="M18" s="92"/>
    </row>
    <row r="19" spans="1:21" ht="26.1" customHeight="1" collapsed="1">
      <c r="A19" s="284"/>
      <c r="B19" s="107">
        <v>49006</v>
      </c>
      <c r="C19" s="106" t="s">
        <v>164</v>
      </c>
      <c r="D19" s="105" t="s">
        <v>163</v>
      </c>
      <c r="E19" s="104"/>
      <c r="F19" s="114">
        <f>VLOOKUP('Count Inventory'!B19,Purchase!$B$5:$G$38,5,0)</f>
        <v>180</v>
      </c>
      <c r="G19" s="114">
        <f>VLOOKUP('Count Inventory'!B19,Purchase!$B$5:$G$38,6,0)</f>
        <v>0</v>
      </c>
      <c r="H19" s="95"/>
      <c r="I19" s="95"/>
      <c r="M19" s="92"/>
      <c r="U19" s="280"/>
    </row>
    <row r="20" spans="1:21" ht="26.1" customHeight="1">
      <c r="A20" s="284"/>
      <c r="B20" s="112">
        <v>49005</v>
      </c>
      <c r="C20" s="111" t="s">
        <v>162</v>
      </c>
      <c r="D20" s="110" t="s">
        <v>161</v>
      </c>
      <c r="E20" s="122"/>
      <c r="F20" s="121">
        <f>VLOOKUP('Count Inventory'!B20,Purchase!$B$5:$G$38,5,0)</f>
        <v>214</v>
      </c>
      <c r="G20" s="121">
        <f>VLOOKUP('Count Inventory'!B20,Purchase!$B$5:$G$38,6,0)</f>
        <v>0</v>
      </c>
      <c r="H20" s="96"/>
      <c r="I20" s="96"/>
      <c r="M20" s="92"/>
      <c r="U20" s="280"/>
    </row>
    <row r="21" spans="1:21" ht="26.1" customHeight="1" thickBot="1">
      <c r="A21" s="285"/>
      <c r="B21" s="107">
        <v>49004</v>
      </c>
      <c r="C21" s="106" t="s">
        <v>160</v>
      </c>
      <c r="D21" s="105" t="s">
        <v>159</v>
      </c>
      <c r="E21" s="104"/>
      <c r="F21" s="114">
        <f>VLOOKUP('Count Inventory'!B21,Purchase!$B$5:$G$38,5,0)</f>
        <v>210</v>
      </c>
      <c r="G21" s="114">
        <f>VLOOKUP('Count Inventory'!B21,Purchase!$B$5:$G$38,6,0)</f>
        <v>0</v>
      </c>
      <c r="H21" s="95"/>
      <c r="I21" s="95"/>
      <c r="M21" s="92"/>
      <c r="U21" s="280"/>
    </row>
    <row r="22" spans="1:21" ht="26.1" customHeight="1">
      <c r="A22" s="281" t="s">
        <v>158</v>
      </c>
      <c r="B22" s="120">
        <v>40107</v>
      </c>
      <c r="C22" s="119" t="s">
        <v>157</v>
      </c>
      <c r="D22" s="118" t="s">
        <v>156</v>
      </c>
      <c r="E22" s="117"/>
      <c r="F22" s="116">
        <f>VLOOKUP('Count Inventory'!B22,Purchase!$B$5:$G$38,5,0)</f>
        <v>167</v>
      </c>
      <c r="G22" s="116">
        <f>VLOOKUP('Count Inventory'!B22,Purchase!$B$5:$G$38,6,0)</f>
        <v>0</v>
      </c>
      <c r="H22" s="96"/>
      <c r="I22" s="96"/>
      <c r="M22" s="92"/>
      <c r="U22" s="280"/>
    </row>
    <row r="23" spans="1:21" ht="26.1" customHeight="1">
      <c r="A23" s="282"/>
      <c r="B23" s="107">
        <v>40108</v>
      </c>
      <c r="C23" s="106" t="s">
        <v>155</v>
      </c>
      <c r="D23" s="105" t="s">
        <v>154</v>
      </c>
      <c r="E23" s="104"/>
      <c r="F23" s="114">
        <f>VLOOKUP('Count Inventory'!B23,Purchase!$B$5:$G$38,5,0)</f>
        <v>161</v>
      </c>
      <c r="G23" s="114">
        <f>VLOOKUP('Count Inventory'!B23,Purchase!$B$5:$G$38,6,0)</f>
        <v>0</v>
      </c>
      <c r="H23" s="115"/>
      <c r="I23" s="115"/>
      <c r="M23" s="92"/>
      <c r="U23" s="280"/>
    </row>
    <row r="24" spans="1:21" ht="26.1" customHeight="1">
      <c r="A24" s="282"/>
      <c r="B24" s="112">
        <v>40109</v>
      </c>
      <c r="C24" s="111" t="s">
        <v>153</v>
      </c>
      <c r="D24" s="110" t="s">
        <v>152</v>
      </c>
      <c r="E24" s="122"/>
      <c r="F24" s="121">
        <f>VLOOKUP('Count Inventory'!B24,Purchase!$B$5:$G$38,5,0)</f>
        <v>422</v>
      </c>
      <c r="G24" s="121">
        <f>VLOOKUP('Count Inventory'!B24,Purchase!$B$5:$G$38,6,0)</f>
        <v>0</v>
      </c>
      <c r="H24" s="96"/>
      <c r="I24" s="96"/>
      <c r="M24" s="92"/>
      <c r="U24" s="280"/>
    </row>
    <row r="25" spans="1:21" ht="26.1" customHeight="1">
      <c r="A25" s="282"/>
      <c r="B25" s="107">
        <v>40305</v>
      </c>
      <c r="C25" s="106" t="s">
        <v>151</v>
      </c>
      <c r="D25" s="105" t="s">
        <v>150</v>
      </c>
      <c r="E25" s="104"/>
      <c r="F25" s="114">
        <f>VLOOKUP('Count Inventory'!B25,Purchase!$B$5:$G$38,5,0)</f>
        <v>247</v>
      </c>
      <c r="G25" s="114">
        <f>VLOOKUP('Count Inventory'!B25,Purchase!$B$5:$G$38,6,0)</f>
        <v>0</v>
      </c>
      <c r="H25" s="95"/>
      <c r="I25" s="95"/>
      <c r="M25" s="92"/>
      <c r="U25" s="280"/>
    </row>
    <row r="26" spans="1:21" ht="26.1" customHeight="1">
      <c r="A26" s="282"/>
      <c r="B26" s="120">
        <v>40304</v>
      </c>
      <c r="C26" s="119" t="s">
        <v>149</v>
      </c>
      <c r="D26" s="118" t="s">
        <v>148</v>
      </c>
      <c r="E26" s="117"/>
      <c r="F26" s="116">
        <f>VLOOKUP('Count Inventory'!B26,Purchase!$B$5:$G$38,5,0)</f>
        <v>193</v>
      </c>
      <c r="G26" s="116">
        <f>VLOOKUP('Count Inventory'!B26,Purchase!$B$5:$G$38,6,0)</f>
        <v>0</v>
      </c>
      <c r="H26" s="96"/>
      <c r="I26" s="96"/>
      <c r="M26" s="92"/>
      <c r="U26" s="280"/>
    </row>
    <row r="27" spans="1:21" ht="26.1" customHeight="1" thickBot="1">
      <c r="A27" s="282"/>
      <c r="B27" s="107">
        <v>40102</v>
      </c>
      <c r="C27" s="106" t="s">
        <v>147</v>
      </c>
      <c r="D27" s="105" t="s">
        <v>146</v>
      </c>
      <c r="E27" s="104"/>
      <c r="F27" s="114">
        <f>VLOOKUP('Count Inventory'!B27,Purchase!$B$5:$G$38,5,0)</f>
        <v>347</v>
      </c>
      <c r="G27" s="114">
        <f>VLOOKUP('Count Inventory'!B27,Purchase!$B$5:$G$38,6,0)</f>
        <v>0</v>
      </c>
      <c r="H27" s="115"/>
      <c r="I27" s="115"/>
      <c r="M27" s="92"/>
      <c r="U27" s="280"/>
    </row>
    <row r="28" spans="1:21" ht="26.1" hidden="1" customHeight="1" outlineLevel="1">
      <c r="A28" s="282"/>
      <c r="B28" s="112">
        <v>40103</v>
      </c>
      <c r="C28" s="111" t="s">
        <v>145</v>
      </c>
      <c r="D28" s="110" t="s">
        <v>144</v>
      </c>
      <c r="E28" s="109"/>
      <c r="F28" s="113">
        <f>VLOOKUP('Count Inventory'!B28,Purchase!$B$5:$G$38,5,0)</f>
        <v>0</v>
      </c>
      <c r="G28" s="113">
        <f>VLOOKUP('Count Inventory'!B28,Purchase!$B$5:$G$38,6,0)</f>
        <v>0</v>
      </c>
      <c r="H28" s="96"/>
      <c r="I28" s="96"/>
      <c r="M28" s="92"/>
      <c r="U28" s="280"/>
    </row>
    <row r="29" spans="1:21" ht="26.1" hidden="1" customHeight="1" outlineLevel="1">
      <c r="A29" s="282"/>
      <c r="B29" s="107">
        <v>40104</v>
      </c>
      <c r="C29" s="106" t="s">
        <v>143</v>
      </c>
      <c r="D29" s="105" t="s">
        <v>142</v>
      </c>
      <c r="E29" s="104"/>
      <c r="F29" s="114">
        <f>VLOOKUP('Count Inventory'!B29,Purchase!$B$5:$G$38,5,0)</f>
        <v>0</v>
      </c>
      <c r="G29" s="114">
        <f>VLOOKUP('Count Inventory'!B29,Purchase!$B$5:$G$38,6,0)</f>
        <v>0</v>
      </c>
      <c r="H29" s="95"/>
      <c r="I29" s="95"/>
      <c r="M29" s="92"/>
      <c r="U29" s="280"/>
    </row>
    <row r="30" spans="1:21" ht="26.1" hidden="1" customHeight="1" outlineLevel="1">
      <c r="A30" s="282"/>
      <c r="B30" s="112">
        <v>40105</v>
      </c>
      <c r="C30" s="111" t="s">
        <v>141</v>
      </c>
      <c r="D30" s="110" t="s">
        <v>140</v>
      </c>
      <c r="E30" s="109"/>
      <c r="F30" s="113">
        <f>VLOOKUP('Count Inventory'!B30,Purchase!$B$5:$G$38,5,0)</f>
        <v>0</v>
      </c>
      <c r="G30" s="113">
        <f>VLOOKUP('Count Inventory'!B30,Purchase!$B$5:$G$38,6,0)</f>
        <v>0</v>
      </c>
      <c r="H30" s="96"/>
      <c r="I30" s="96"/>
      <c r="M30" s="92"/>
      <c r="U30" s="280"/>
    </row>
    <row r="31" spans="1:21" ht="26.1" hidden="1" customHeight="1" outlineLevel="1">
      <c r="A31" s="282"/>
      <c r="B31" s="107">
        <v>40130</v>
      </c>
      <c r="C31" s="106" t="s">
        <v>139</v>
      </c>
      <c r="D31" s="105" t="s">
        <v>138</v>
      </c>
      <c r="E31" s="104"/>
      <c r="F31" s="114">
        <f>VLOOKUP('Count Inventory'!B31,Purchase!$B$5:$G$38,5,0)</f>
        <v>0</v>
      </c>
      <c r="G31" s="114">
        <f>VLOOKUP('Count Inventory'!B31,Purchase!$B$5:$G$38,6,0)</f>
        <v>0</v>
      </c>
      <c r="H31" s="95"/>
      <c r="I31" s="95"/>
      <c r="M31" s="92"/>
      <c r="U31" s="280"/>
    </row>
    <row r="32" spans="1:21" ht="26.1" hidden="1" customHeight="1" outlineLevel="1" thickBot="1">
      <c r="A32" s="283"/>
      <c r="B32" s="112">
        <v>40131</v>
      </c>
      <c r="C32" s="111" t="s">
        <v>137</v>
      </c>
      <c r="D32" s="110" t="s">
        <v>136</v>
      </c>
      <c r="E32" s="109"/>
      <c r="F32" s="113">
        <f>VLOOKUP('Count Inventory'!B32,Purchase!$B$5:$G$38,5,0)</f>
        <v>0</v>
      </c>
      <c r="G32" s="113">
        <f>VLOOKUP('Count Inventory'!B32,Purchase!$B$5:$G$38,6,0)</f>
        <v>0</v>
      </c>
      <c r="H32" s="96"/>
      <c r="I32" s="96"/>
      <c r="M32" s="92"/>
      <c r="U32" s="280"/>
    </row>
    <row r="33" spans="1:21" ht="26.1" customHeight="1" collapsed="1">
      <c r="A33" s="281" t="s">
        <v>135</v>
      </c>
      <c r="B33" s="107">
        <v>40010</v>
      </c>
      <c r="C33" s="106" t="s">
        <v>134</v>
      </c>
      <c r="D33" s="105" t="s">
        <v>133</v>
      </c>
      <c r="E33" s="104"/>
      <c r="F33" s="114">
        <f>VLOOKUP('Count Inventory'!B33,Purchase!$B$5:$G$38,5,0)</f>
        <v>473</v>
      </c>
      <c r="G33" s="114">
        <f>VLOOKUP('Count Inventory'!B33,Purchase!$B$5:$G$38,6,0)</f>
        <v>460</v>
      </c>
      <c r="H33" s="95"/>
      <c r="I33" s="95"/>
      <c r="M33" s="92"/>
      <c r="U33" s="280"/>
    </row>
    <row r="34" spans="1:21" ht="26.1" customHeight="1">
      <c r="A34" s="282"/>
      <c r="B34" s="120">
        <v>40009</v>
      </c>
      <c r="C34" s="119" t="s">
        <v>132</v>
      </c>
      <c r="D34" s="118" t="s">
        <v>131</v>
      </c>
      <c r="E34" s="117"/>
      <c r="F34" s="116">
        <f>VLOOKUP('Count Inventory'!B34,Purchase!$B$5:$G$38,5,0)</f>
        <v>270</v>
      </c>
      <c r="G34" s="116">
        <f>VLOOKUP('Count Inventory'!B34,Purchase!$B$5:$G$38,6,0)</f>
        <v>220</v>
      </c>
      <c r="H34" s="96"/>
      <c r="I34" s="96"/>
      <c r="M34" s="92"/>
      <c r="U34" s="280"/>
    </row>
    <row r="35" spans="1:21" ht="26.1" customHeight="1">
      <c r="A35" s="282"/>
      <c r="B35" s="107">
        <v>40008</v>
      </c>
      <c r="C35" s="106" t="s">
        <v>130</v>
      </c>
      <c r="D35" s="105" t="s">
        <v>129</v>
      </c>
      <c r="E35" s="104"/>
      <c r="F35" s="114">
        <f>VLOOKUP('Count Inventory'!B35,Purchase!$B$5:$G$38,5,0)</f>
        <v>1133</v>
      </c>
      <c r="G35" s="114">
        <f>VLOOKUP('Count Inventory'!B35,Purchase!$B$5:$G$38,6,0)</f>
        <v>0</v>
      </c>
      <c r="H35" s="115"/>
      <c r="I35" s="115"/>
      <c r="M35" s="92"/>
      <c r="U35" s="280"/>
    </row>
    <row r="36" spans="1:21" ht="26.1" customHeight="1">
      <c r="A36" s="282"/>
      <c r="B36" s="112">
        <v>40013</v>
      </c>
      <c r="C36" s="111" t="s">
        <v>128</v>
      </c>
      <c r="D36" s="110" t="s">
        <v>127</v>
      </c>
      <c r="E36" s="109"/>
      <c r="F36" s="113">
        <f>VLOOKUP('Count Inventory'!B36,Purchase!$B$5:$G$38,5,0)</f>
        <v>228</v>
      </c>
      <c r="G36" s="113">
        <f>VLOOKUP('Count Inventory'!B36,Purchase!$B$5:$G$38,6,0)</f>
        <v>0</v>
      </c>
      <c r="H36" s="96"/>
      <c r="I36" s="96"/>
      <c r="M36" s="92"/>
      <c r="U36" s="280"/>
    </row>
    <row r="37" spans="1:21" ht="26.1" customHeight="1">
      <c r="A37" s="282"/>
      <c r="B37" s="107">
        <v>40012</v>
      </c>
      <c r="C37" s="106" t="s">
        <v>126</v>
      </c>
      <c r="D37" s="105" t="s">
        <v>125</v>
      </c>
      <c r="E37" s="104"/>
      <c r="F37" s="114">
        <f>VLOOKUP('Count Inventory'!B37,Purchase!$B$5:$G$38,5,0)</f>
        <v>221</v>
      </c>
      <c r="G37" s="114">
        <f>VLOOKUP('Count Inventory'!B37,Purchase!$B$5:$G$38,6,0)</f>
        <v>0</v>
      </c>
      <c r="H37" s="96"/>
      <c r="I37" s="96"/>
      <c r="M37" s="92"/>
    </row>
    <row r="38" spans="1:21" ht="26.1" customHeight="1">
      <c r="A38" s="282"/>
      <c r="B38" s="112">
        <v>40011</v>
      </c>
      <c r="C38" s="111" t="s">
        <v>124</v>
      </c>
      <c r="D38" s="110" t="s">
        <v>123</v>
      </c>
      <c r="E38" s="109"/>
      <c r="F38" s="113">
        <f>VLOOKUP('Count Inventory'!B38,Purchase!$B$5:$G$38,5,0)</f>
        <v>221</v>
      </c>
      <c r="G38" s="113">
        <f>VLOOKUP('Count Inventory'!B38,Purchase!$B$5:$G$38,6,0)</f>
        <v>0</v>
      </c>
      <c r="H38" s="95"/>
      <c r="I38" s="95"/>
      <c r="M38" s="92"/>
    </row>
    <row r="39" spans="1:21" ht="26.1" hidden="1" customHeight="1" outlineLevel="1">
      <c r="A39" s="282"/>
      <c r="B39" s="107">
        <v>40026</v>
      </c>
      <c r="C39" s="106" t="s">
        <v>122</v>
      </c>
      <c r="D39" s="105" t="s">
        <v>121</v>
      </c>
      <c r="E39" s="104"/>
      <c r="F39" s="103">
        <f>Purchase!F39</f>
        <v>0</v>
      </c>
      <c r="G39" s="97" t="e">
        <f>VLOOKUP('Count Inventory'!B39,Purchase!$B$5:$G$38,6)</f>
        <v>#N/A</v>
      </c>
      <c r="H39" s="96"/>
      <c r="I39" s="96"/>
      <c r="M39" s="92"/>
    </row>
    <row r="40" spans="1:21" ht="26.1" hidden="1" customHeight="1" outlineLevel="1">
      <c r="A40" s="282"/>
      <c r="B40" s="112">
        <v>40027</v>
      </c>
      <c r="C40" s="111" t="s">
        <v>120</v>
      </c>
      <c r="D40" s="110" t="s">
        <v>119</v>
      </c>
      <c r="E40" s="109"/>
      <c r="F40" s="108">
        <f>Purchase!F40</f>
        <v>0</v>
      </c>
      <c r="G40" s="97" t="e">
        <f>VLOOKUP('Count Inventory'!B40,Purchase!$B$5:$G$38,6)</f>
        <v>#N/A</v>
      </c>
      <c r="H40" s="95"/>
      <c r="I40" s="95"/>
      <c r="M40" s="92"/>
    </row>
    <row r="41" spans="1:21" ht="26.1" hidden="1" customHeight="1" outlineLevel="1">
      <c r="A41" s="282"/>
      <c r="B41" s="107">
        <v>40028</v>
      </c>
      <c r="C41" s="106" t="s">
        <v>118</v>
      </c>
      <c r="D41" s="105" t="s">
        <v>117</v>
      </c>
      <c r="E41" s="104"/>
      <c r="F41" s="103">
        <f>Purchase!F41</f>
        <v>0</v>
      </c>
      <c r="G41" s="97" t="e">
        <f>VLOOKUP('Count Inventory'!B41,Purchase!$B$5:$G$38,6)</f>
        <v>#N/A</v>
      </c>
      <c r="H41" s="96"/>
      <c r="I41" s="96"/>
      <c r="M41" s="92"/>
    </row>
    <row r="42" spans="1:21" ht="26.1" hidden="1" customHeight="1" outlineLevel="1">
      <c r="A42" s="282"/>
      <c r="B42" s="112">
        <v>40029</v>
      </c>
      <c r="C42" s="111" t="s">
        <v>116</v>
      </c>
      <c r="D42" s="110" t="s">
        <v>115</v>
      </c>
      <c r="E42" s="109"/>
      <c r="F42" s="108">
        <f>Purchase!F42</f>
        <v>0</v>
      </c>
      <c r="G42" s="97" t="e">
        <f>VLOOKUP('Count Inventory'!B42,Purchase!$B$5:$G$38,6)</f>
        <v>#N/A</v>
      </c>
      <c r="H42" s="95"/>
      <c r="I42" s="95"/>
      <c r="M42" s="92"/>
    </row>
    <row r="43" spans="1:21" ht="26.1" hidden="1" customHeight="1" outlineLevel="1">
      <c r="A43" s="282"/>
      <c r="B43" s="107">
        <v>40030</v>
      </c>
      <c r="C43" s="106" t="s">
        <v>114</v>
      </c>
      <c r="D43" s="105" t="s">
        <v>113</v>
      </c>
      <c r="E43" s="104"/>
      <c r="F43" s="103">
        <f>Purchase!F43</f>
        <v>0</v>
      </c>
      <c r="G43" s="97" t="e">
        <f>VLOOKUP('Count Inventory'!B43,Purchase!$B$5:$G$38,6)</f>
        <v>#N/A</v>
      </c>
      <c r="H43" s="95"/>
      <c r="I43" s="95"/>
      <c r="M43" s="92"/>
    </row>
    <row r="44" spans="1:21" ht="26.1" hidden="1" customHeight="1" outlineLevel="1" thickBot="1">
      <c r="A44" s="283"/>
      <c r="B44" s="102">
        <v>40031</v>
      </c>
      <c r="C44" s="101" t="s">
        <v>112</v>
      </c>
      <c r="D44" s="100" t="s">
        <v>111</v>
      </c>
      <c r="E44" s="99"/>
      <c r="F44" s="98">
        <f>Purchase!F44</f>
        <v>0</v>
      </c>
      <c r="G44" s="97" t="e">
        <f>VLOOKUP('Count Inventory'!B44,Purchase!$B$5:$G$38,6)</f>
        <v>#N/A</v>
      </c>
      <c r="H44" s="96"/>
      <c r="I44" s="96"/>
      <c r="M44" s="92"/>
    </row>
    <row r="45" spans="1:21" ht="26.1" customHeight="1" collapsed="1">
      <c r="A45" s="93"/>
      <c r="B45" s="93"/>
      <c r="C45" s="93"/>
      <c r="D45" s="93"/>
      <c r="E45" s="93"/>
      <c r="F45" s="93"/>
      <c r="G45" s="95"/>
      <c r="H45" s="95"/>
      <c r="I45" s="95"/>
      <c r="J45" s="93"/>
      <c r="K45" s="93"/>
      <c r="L45" s="93"/>
      <c r="M45" s="92"/>
    </row>
    <row r="46" spans="1:21" ht="26.1" customHeight="1">
      <c r="A46" s="93"/>
      <c r="G46" s="94"/>
      <c r="H46" s="93"/>
      <c r="I46" s="93"/>
      <c r="J46" s="93"/>
      <c r="K46" s="93"/>
      <c r="L46" s="93"/>
      <c r="M46" s="92"/>
    </row>
    <row r="47" spans="1:21" ht="26.1" customHeight="1">
      <c r="A47" s="93"/>
      <c r="B47" s="93"/>
      <c r="C47" s="93"/>
      <c r="D47" s="93"/>
      <c r="E47" s="93"/>
      <c r="F47" s="93"/>
      <c r="H47" s="93"/>
      <c r="I47" s="93"/>
      <c r="J47" s="93"/>
      <c r="K47" s="93"/>
      <c r="L47" s="93"/>
      <c r="M47" s="92"/>
    </row>
    <row r="48" spans="1:21">
      <c r="H48" s="91"/>
      <c r="I48" s="91"/>
      <c r="J48" s="91"/>
      <c r="K48" s="91"/>
      <c r="L48" s="91"/>
    </row>
  </sheetData>
  <sheetProtection sheet="1"/>
  <mergeCells count="15">
    <mergeCell ref="R5:T5"/>
    <mergeCell ref="W5:X5"/>
    <mergeCell ref="U7:U9"/>
    <mergeCell ref="U10:U12"/>
    <mergeCell ref="U13:U15"/>
    <mergeCell ref="U5:V5"/>
    <mergeCell ref="U34:U36"/>
    <mergeCell ref="U25:U27"/>
    <mergeCell ref="A33:A44"/>
    <mergeCell ref="U19:U21"/>
    <mergeCell ref="A6:A21"/>
    <mergeCell ref="U22:U24"/>
    <mergeCell ref="A22:A32"/>
    <mergeCell ref="U28:U30"/>
    <mergeCell ref="U31:U33"/>
  </mergeCells>
  <conditionalFormatting sqref="Z22:Z36 Z7:Z15">
    <cfRule type="expression" dxfId="0" priority="1" stopIfTrue="1">
      <formula>$L7="Don't order"</formula>
    </cfRule>
  </conditionalFormatting>
  <pageMargins left="1" right="0.25" top="0.75" bottom="0.75" header="0.3" footer="0.3"/>
  <pageSetup scale="63" orientation="portrait" r:id="rId1"/>
  <headerFooter alignWithMargins="0">
    <oddFooter>&amp;C&amp;Z&amp;F</oddFooter>
  </headerFooter>
  <colBreaks count="1" manualBreakCount="1">
    <brk id="5" max="43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Purchase Dashboard</vt:lpstr>
      <vt:lpstr>Data log</vt:lpstr>
      <vt:lpstr>Constants</vt:lpstr>
      <vt:lpstr>Purchase</vt:lpstr>
      <vt:lpstr>Count Inventory</vt:lpstr>
      <vt:lpstr>'Count Inventory'!Print_Area</vt:lpstr>
      <vt:lpstr>Purchase!Print_Area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Gao</dc:creator>
  <cp:lastModifiedBy>Shiyu You</cp:lastModifiedBy>
  <dcterms:created xsi:type="dcterms:W3CDTF">2018-11-30T06:55:57Z</dcterms:created>
  <dcterms:modified xsi:type="dcterms:W3CDTF">2019-04-17T20:48:45Z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adbf0b34-cde2-4dad-8111-66d458795772</vt:lpwstr>
  </property>
</Properties>
</file>